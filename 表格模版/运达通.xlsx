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80" windowHeight="12520"/>
  </bookViews>
  <sheets>
    <sheet name="模板" sheetId="1" r:id="rId1"/>
    <sheet name="欧洲地址库" sheetId="2" state="hidden" r:id="rId2"/>
  </sheets>
  <definedNames>
    <definedName name="_xlnm._FilterDatabase" localSheetId="1" hidden="1">欧洲地址库!$E$1:$N$132</definedName>
    <definedName name="下拉列表1">欧洲地址库!$A$2:$A$132</definedName>
  </definedNames>
  <calcPr calcId="144525" concurrentCalc="0"/>
</workbook>
</file>

<file path=xl/comments1.xml><?xml version="1.0" encoding="utf-8"?>
<comments xmlns="http://schemas.openxmlformats.org/spreadsheetml/2006/main">
  <authors>
    <author>Administrator</author>
    <author>13059</author>
  </authors>
  <commentList>
    <comment ref="B4" authorId="0">
      <text>
        <r>
          <rPr>
            <b/>
            <sz val="10"/>
            <rFont val="宋体"/>
            <charset val="134"/>
          </rPr>
          <t xml:space="preserve">运达通温馨提示:
</t>
        </r>
        <r>
          <rPr>
            <sz val="12"/>
            <rFont val="宋体"/>
            <charset val="134"/>
          </rPr>
          <t>用户可根据自身需求对每票添加对应的内别识别号。</t>
        </r>
      </text>
    </comment>
    <comment ref="F4" authorId="0">
      <text>
        <r>
          <rPr>
            <b/>
            <sz val="10"/>
            <rFont val="宋体"/>
            <charset val="134"/>
          </rPr>
          <t xml:space="preserve">运达通温馨提示：
</t>
        </r>
        <r>
          <rPr>
            <sz val="12"/>
            <rFont val="宋体"/>
            <charset val="134"/>
          </rPr>
          <t>默认买单报关，有做单证退税报关请选择报关退税</t>
        </r>
      </text>
    </comment>
    <comment ref="B5" authorId="0">
      <text>
        <r>
          <rPr>
            <b/>
            <sz val="12"/>
            <rFont val="宋体"/>
            <charset val="134"/>
          </rPr>
          <t>运达通温馨提示:</t>
        </r>
        <r>
          <rPr>
            <sz val="10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必选项！</t>
        </r>
      </text>
    </comment>
    <comment ref="B6" authorId="0">
      <text>
        <r>
          <rPr>
            <b/>
            <sz val="12"/>
            <rFont val="宋体"/>
            <charset val="134"/>
          </rPr>
          <t xml:space="preserve">运达通温馨提示:
</t>
        </r>
        <r>
          <rPr>
            <sz val="12"/>
            <rFont val="宋体"/>
            <charset val="134"/>
          </rPr>
          <t>选择对应的AMZ仓库代码地址自动生成并核对；</t>
        </r>
        <r>
          <rPr>
            <b/>
            <sz val="12"/>
            <rFont val="宋体"/>
            <charset val="134"/>
          </rPr>
          <t>非亚马逊地址输入空格，手动填入替换以下地址即可</t>
        </r>
      </text>
    </comment>
    <comment ref="E10" authorId="1">
      <text>
        <r>
          <rPr>
            <sz val="12"/>
            <rFont val="宋体"/>
            <charset val="134"/>
          </rPr>
          <t xml:space="preserve">英国（BHX4）（LBA4） 尾端可选卡派服务  需要提供PO number </t>
        </r>
      </text>
    </comment>
    <comment ref="E11" authorId="1">
      <text>
        <r>
          <rPr>
            <sz val="12"/>
            <rFont val="宋体"/>
            <charset val="134"/>
          </rPr>
          <t>英国尾端卡派送仓需要提供</t>
        </r>
      </text>
    </comment>
    <comment ref="B14" authorId="0">
      <text>
        <r>
          <rPr>
            <sz val="12"/>
            <rFont val="宋体"/>
            <charset val="134"/>
          </rPr>
          <t>箱数需要和货箱编号真实数量对应</t>
        </r>
      </text>
    </comment>
    <comment ref="A15" authorId="0">
      <text>
        <r>
          <rPr>
            <sz val="12"/>
            <rFont val="宋体"/>
            <charset val="134"/>
          </rPr>
          <t>货箱编号不可合并单元格，箱号重复即可，有多少品名就要写多少行。</t>
        </r>
        <r>
          <rPr>
            <sz val="9"/>
            <rFont val="宋体"/>
            <charset val="134"/>
          </rPr>
          <t xml:space="preserve">                                     
</t>
        </r>
      </text>
    </comment>
    <comment ref="K15" authorId="0">
      <text>
        <r>
          <rPr>
            <sz val="12"/>
            <rFont val="宋体"/>
            <charset val="134"/>
          </rPr>
          <t xml:space="preserve">可以贴图，也可以嵌入
</t>
        </r>
      </text>
    </comment>
    <comment ref="M15" authorId="0">
      <text>
        <r>
          <rPr>
            <b/>
            <sz val="10"/>
            <rFont val="宋体"/>
            <charset val="134"/>
          </rPr>
          <t>运达通温馨提示: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英国自税递延
欧盟自税递延 
必填！</t>
        </r>
      </text>
    </comment>
  </commentList>
</comments>
</file>

<file path=xl/sharedStrings.xml><?xml version="1.0" encoding="utf-8"?>
<sst xmlns="http://schemas.openxmlformats.org/spreadsheetml/2006/main" count="1390" uniqueCount="618">
  <si>
    <t>形式发票/Proforma INVOICE</t>
  </si>
  <si>
    <t>温馨提示：发票箱单品名数量请如实填写，不允许虚假申报，如因虚报发生海关查验航班延误等问题，贵司需要承担所造成的部分损失，请知悉！</t>
  </si>
  <si>
    <t>客户订单号
（FBA编码/内部识别号）</t>
  </si>
  <si>
    <t>FBA15K7PTQG0</t>
  </si>
  <si>
    <t>报关方式</t>
  </si>
  <si>
    <t>买单报关</t>
  </si>
  <si>
    <t>常用网址导航</t>
  </si>
  <si>
    <t>服务（渠道）*</t>
  </si>
  <si>
    <t>英国卡航-自税递延</t>
  </si>
  <si>
    <r>
      <rPr>
        <sz val="12"/>
        <color theme="3" tint="-0.249977111117893"/>
        <rFont val="DengXian"/>
        <charset val="134"/>
        <scheme val="minor"/>
      </rPr>
      <t>VAT号</t>
    </r>
    <r>
      <rPr>
        <b/>
        <sz val="12"/>
        <color indexed="10"/>
        <rFont val="DengXian"/>
        <charset val="134"/>
      </rPr>
      <t>（自税必填*）</t>
    </r>
  </si>
  <si>
    <t>直接点击跳转对应网站</t>
  </si>
  <si>
    <r>
      <rPr>
        <b/>
        <sz val="16"/>
        <color rgb="FFFF0000"/>
        <rFont val="DengXian"/>
        <charset val="134"/>
        <scheme val="minor"/>
      </rPr>
      <t xml:space="preserve">地址库编码             </t>
    </r>
    <r>
      <rPr>
        <sz val="12"/>
        <color indexed="10"/>
        <rFont val="DengXian"/>
        <charset val="134"/>
      </rPr>
      <t>(同编码地址核对邮编)</t>
    </r>
  </si>
  <si>
    <t>LBA4</t>
  </si>
  <si>
    <r>
      <rPr>
        <sz val="12"/>
        <color theme="3" tint="-0.249977111117893"/>
        <rFont val="DengXian"/>
        <charset val="134"/>
        <scheme val="minor"/>
      </rPr>
      <t>EORI号</t>
    </r>
    <r>
      <rPr>
        <b/>
        <sz val="12"/>
        <color indexed="10"/>
        <rFont val="DengXian"/>
        <charset val="134"/>
      </rPr>
      <t>（自税必填*）</t>
    </r>
  </si>
  <si>
    <t>YDT服务系统客户端</t>
  </si>
  <si>
    <r>
      <rPr>
        <b/>
        <sz val="12"/>
        <color rgb="FFFF0000"/>
        <rFont val="DengXian"/>
        <charset val="134"/>
        <scheme val="minor"/>
      </rPr>
      <t>收件人姓名</t>
    </r>
    <r>
      <rPr>
        <sz val="11"/>
        <color indexed="10"/>
        <rFont val="DengXian"/>
        <charset val="134"/>
      </rPr>
      <t>*</t>
    </r>
  </si>
  <si>
    <t>收件人公司</t>
  </si>
  <si>
    <t>车辆GPS实时位置查询</t>
  </si>
  <si>
    <r>
      <rPr>
        <b/>
        <sz val="12"/>
        <color rgb="FFFF0000"/>
        <rFont val="DengXian"/>
        <charset val="134"/>
        <scheme val="minor"/>
      </rPr>
      <t>收件人地址一</t>
    </r>
    <r>
      <rPr>
        <sz val="11"/>
        <color indexed="10"/>
        <rFont val="DengXian"/>
        <charset val="134"/>
      </rPr>
      <t>*</t>
    </r>
  </si>
  <si>
    <t>收件人电话</t>
  </si>
  <si>
    <t>英国税号查询</t>
  </si>
  <si>
    <t>收件人地址二</t>
  </si>
  <si>
    <t>收件人邮箱</t>
  </si>
  <si>
    <t>英国海关编码查询</t>
  </si>
  <si>
    <r>
      <rPr>
        <b/>
        <sz val="12"/>
        <color rgb="FFFF0000"/>
        <rFont val="DengXian"/>
        <charset val="134"/>
        <scheme val="minor"/>
      </rPr>
      <t>收件人城市</t>
    </r>
    <r>
      <rPr>
        <sz val="11"/>
        <color indexed="10"/>
        <rFont val="DengXian"/>
        <charset val="134"/>
      </rPr>
      <t>*</t>
    </r>
  </si>
  <si>
    <t>备注（英国尾端卡派需备注）</t>
  </si>
  <si>
    <t>英国免征增值税商品集合</t>
  </si>
  <si>
    <t>收件人省份/州</t>
  </si>
  <si>
    <t>PO Number</t>
  </si>
  <si>
    <t>欧盟增值税号查询</t>
  </si>
  <si>
    <r>
      <rPr>
        <b/>
        <sz val="12"/>
        <color rgb="FFFF0000"/>
        <rFont val="DengXian"/>
        <charset val="134"/>
        <scheme val="minor"/>
      </rPr>
      <t>收件人邮编</t>
    </r>
    <r>
      <rPr>
        <sz val="11"/>
        <color indexed="10"/>
        <rFont val="DengXian"/>
        <charset val="134"/>
      </rPr>
      <t>*</t>
    </r>
  </si>
  <si>
    <t>欧盟认证号查询</t>
  </si>
  <si>
    <r>
      <rPr>
        <b/>
        <sz val="12"/>
        <color rgb="FFFF0000"/>
        <rFont val="DengXian"/>
        <charset val="134"/>
        <scheme val="minor"/>
      </rPr>
      <t>收件人国家代码(二字代码)</t>
    </r>
    <r>
      <rPr>
        <sz val="11"/>
        <color indexed="10"/>
        <rFont val="DengXian"/>
        <charset val="134"/>
      </rPr>
      <t>*</t>
    </r>
  </si>
  <si>
    <t>欧盟海关编码查询</t>
  </si>
  <si>
    <r>
      <rPr>
        <b/>
        <sz val="12"/>
        <color rgb="FFFF0000"/>
        <rFont val="DengXian"/>
        <charset val="134"/>
        <scheme val="minor"/>
      </rPr>
      <t>箱数</t>
    </r>
    <r>
      <rPr>
        <sz val="11"/>
        <color indexed="10"/>
        <rFont val="DengXian"/>
        <charset val="134"/>
      </rPr>
      <t>*</t>
    </r>
  </si>
  <si>
    <t>比利时逆运算计算器</t>
  </si>
  <si>
    <r>
      <rPr>
        <b/>
        <sz val="12"/>
        <color theme="3" tint="-0.249977111117893"/>
        <rFont val="DengXian"/>
        <charset val="134"/>
        <scheme val="minor"/>
      </rPr>
      <t>货箱编号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</si>
  <si>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产品中文品名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</si>
  <si>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产品英文品名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</si>
  <si>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产品海关编码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</si>
  <si>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产品用途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</si>
  <si>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产品描述</t>
    </r>
    <r>
      <rPr>
        <b/>
        <sz val="12"/>
        <color indexed="10"/>
        <rFont val="DengXian"/>
        <charset val="134"/>
      </rPr>
      <t>*</t>
    </r>
    <r>
      <rPr>
        <b/>
        <sz val="12"/>
        <color indexed="56"/>
        <rFont val="DengXian"/>
        <charset val="134"/>
      </rPr>
      <t xml:space="preserve">
(单位)</t>
    </r>
  </si>
  <si>
    <r>
      <rPr>
        <b/>
        <sz val="12"/>
        <color theme="3" tint="-0.249977111117893"/>
        <rFont val="DengXian"/>
        <charset val="134"/>
        <scheme val="minor"/>
      </rPr>
      <t>产品申报数量（单箱）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</si>
  <si>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产品申报单价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</si>
  <si>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产品品牌</t>
    </r>
    <r>
      <rPr>
        <b/>
        <sz val="12"/>
        <color indexed="10"/>
        <rFont val="DengXian"/>
        <charset val="134"/>
      </rPr>
      <t>*</t>
    </r>
    <r>
      <rPr>
        <b/>
        <sz val="12"/>
        <color indexed="56"/>
        <rFont val="DengXian"/>
        <charset val="134"/>
      </rPr>
      <t xml:space="preserve">
(外观字样)</t>
    </r>
  </si>
  <si>
    <r>
      <rPr>
        <b/>
        <sz val="12"/>
        <color theme="3" tint="-0.249977111117893"/>
        <rFont val="DengXian"/>
        <charset val="134"/>
        <scheme val="minor"/>
      </rPr>
      <t>产品材质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</si>
  <si>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产品图片</t>
    </r>
    <r>
      <rPr>
        <b/>
        <sz val="11"/>
        <color indexed="10"/>
        <rFont val="DengXian"/>
        <charset val="134"/>
      </rPr>
      <t>*</t>
    </r>
  </si>
  <si>
    <r>
      <rPr>
        <b/>
        <sz val="12"/>
        <color theme="3" tint="-0.249977111117893"/>
        <rFont val="DengXian"/>
        <charset val="134"/>
        <scheme val="minor"/>
      </rPr>
      <t>型号</t>
    </r>
    <r>
      <rPr>
        <b/>
        <sz val="11"/>
        <color indexed="10"/>
        <rFont val="DengXian"/>
        <charset val="134"/>
      </rPr>
      <t>*</t>
    </r>
    <r>
      <rPr>
        <b/>
        <sz val="11"/>
        <color indexed="63"/>
        <rFont val="DengXian"/>
        <charset val="134"/>
      </rPr>
      <t>（备注一套多件）</t>
    </r>
  </si>
  <si>
    <r>
      <rPr>
        <b/>
        <sz val="12"/>
        <color theme="3" tint="-0.249977111117893"/>
        <rFont val="DengXian"/>
        <charset val="134"/>
        <scheme val="minor"/>
      </rPr>
      <t>产品销售链接</t>
    </r>
    <r>
      <rPr>
        <b/>
        <sz val="12"/>
        <color indexed="10"/>
        <rFont val="DengXian"/>
        <charset val="134"/>
      </rPr>
      <t>（自税必填*）</t>
    </r>
  </si>
  <si>
    <t>产品重量
(kg)</t>
  </si>
  <si>
    <t>货箱重量
(KG)</t>
  </si>
  <si>
    <r>
      <rPr>
        <b/>
        <sz val="11"/>
        <color theme="3" tint="-0.249977111117893"/>
        <rFont val="DengXian"/>
        <charset val="134"/>
        <scheme val="minor"/>
      </rPr>
      <t>货箱长度
(</t>
    </r>
    <r>
      <rPr>
        <b/>
        <sz val="11"/>
        <color indexed="63"/>
        <rFont val="DengXian"/>
        <charset val="134"/>
      </rPr>
      <t>CM)</t>
    </r>
  </si>
  <si>
    <r>
      <rPr>
        <b/>
        <sz val="11"/>
        <color theme="3" tint="-0.249977111117893"/>
        <rFont val="DengXian"/>
        <charset val="134"/>
        <scheme val="minor"/>
      </rPr>
      <t>货箱宽度
(</t>
    </r>
    <r>
      <rPr>
        <b/>
        <sz val="11"/>
        <color indexed="63"/>
        <rFont val="DengXian"/>
        <charset val="134"/>
      </rPr>
      <t>CM)</t>
    </r>
  </si>
  <si>
    <r>
      <rPr>
        <b/>
        <sz val="11"/>
        <color theme="3" tint="-0.249977111117893"/>
        <rFont val="DengXian"/>
        <charset val="134"/>
        <scheme val="minor"/>
      </rPr>
      <t>货箱高度
(</t>
    </r>
    <r>
      <rPr>
        <b/>
        <sz val="11"/>
        <color indexed="63"/>
        <rFont val="DengXian"/>
        <charset val="134"/>
      </rPr>
      <t>CM)</t>
    </r>
  </si>
  <si>
    <r>
      <rPr>
        <sz val="9"/>
        <color theme="1"/>
        <rFont val="微软雅黑"/>
        <charset val="134"/>
      </rPr>
      <t>地址简称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</si>
  <si>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地址库编码</t>
    </r>
    <r>
      <rPr>
        <sz val="9"/>
        <color indexed="10"/>
        <rFont val="微软雅黑"/>
        <charset val="134"/>
      </rPr>
      <t>*</t>
    </r>
  </si>
  <si>
    <t>FBA仓库代码</t>
  </si>
  <si>
    <r>
      <rPr>
        <sz val="9"/>
        <color theme="1"/>
        <rFont val="微软雅黑"/>
        <charset val="134"/>
      </rPr>
      <t>联系人</t>
    </r>
    <r>
      <rPr>
        <sz val="9"/>
        <color indexed="10"/>
        <rFont val="微软雅黑"/>
        <charset val="134"/>
      </rPr>
      <t>*</t>
    </r>
  </si>
  <si>
    <t>公司名</t>
  </si>
  <si>
    <t>联系电话</t>
  </si>
  <si>
    <t>联系手机</t>
  </si>
  <si>
    <r>
      <rPr>
        <sz val="9"/>
        <color indexed="8"/>
        <rFont val="微软雅黑"/>
        <charset val="134"/>
      </rPr>
      <t>地址一</t>
    </r>
    <r>
      <rPr>
        <sz val="9"/>
        <color indexed="10"/>
        <rFont val="微软雅黑"/>
        <charset val="134"/>
      </rPr>
      <t>*</t>
    </r>
  </si>
  <si>
    <t>地址二</t>
  </si>
  <si>
    <t>地址三</t>
  </si>
  <si>
    <r>
      <rPr>
        <sz val="9"/>
        <color theme="1"/>
        <rFont val="微软雅黑"/>
        <charset val="134"/>
      </rPr>
      <t>城市</t>
    </r>
    <r>
      <rPr>
        <sz val="9"/>
        <color indexed="10"/>
        <rFont val="微软雅黑"/>
        <charset val="134"/>
      </rPr>
      <t>*</t>
    </r>
  </si>
  <si>
    <t>省/洲</t>
  </si>
  <si>
    <r>
      <rPr>
        <sz val="9"/>
        <color theme="1"/>
        <rFont val="微软雅黑"/>
        <charset val="134"/>
      </rPr>
      <t>国家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</si>
  <si>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邮编</t>
    </r>
    <r>
      <rPr>
        <sz val="9"/>
        <color indexed="10"/>
        <rFont val="微软雅黑"/>
        <charset val="134"/>
      </rPr>
      <t>*</t>
    </r>
  </si>
  <si>
    <t>Amazon Fulfillment Center</t>
  </si>
  <si>
    <t>Unit IP9 Toronto Way</t>
  </si>
  <si>
    <t xml:space="preserve"> </t>
  </si>
  <si>
    <t>New Rossington</t>
  </si>
  <si>
    <t>DONCASTER</t>
  </si>
  <si>
    <t>GB</t>
  </si>
  <si>
    <t>DN11 0GU</t>
  </si>
  <si>
    <t>LBA2</t>
  </si>
  <si>
    <t>Unit 1 (IP1= Amazon) Iport Avenue</t>
  </si>
  <si>
    <t>Yorkshire and the Humber</t>
  </si>
  <si>
    <t>DN11 0BG</t>
  </si>
  <si>
    <t>LBA8/IMN1</t>
  </si>
  <si>
    <t>Amazon Services LBA8/IMN1</t>
  </si>
  <si>
    <t>Unit 3, Logic LeedsSkelton Moor Way</t>
  </si>
  <si>
    <t>Leeds</t>
  </si>
  <si>
    <t>LS15 0BF</t>
  </si>
  <si>
    <t>BHX4</t>
  </si>
  <si>
    <t>Plot 1, Lyons Park,</t>
  </si>
  <si>
    <t>Coventry</t>
  </si>
  <si>
    <t>West Midlands</t>
  </si>
  <si>
    <t>CV5 9PF</t>
  </si>
  <si>
    <t>BHX8/IBH4</t>
  </si>
  <si>
    <t>Unit A, Gateway, Coventry Hwy</t>
  </si>
  <si>
    <t>Redditch</t>
  </si>
  <si>
    <t>B98 9AY</t>
  </si>
  <si>
    <t>BHX8</t>
  </si>
  <si>
    <t>BHX7</t>
  </si>
  <si>
    <t>Unit 2, Hinckley Park</t>
  </si>
  <si>
    <t>Avery Way Hinckley</t>
  </si>
  <si>
    <t>Hinckley</t>
  </si>
  <si>
    <t>LE10 3FF</t>
  </si>
  <si>
    <t>XDS1</t>
  </si>
  <si>
    <t>Gateway 4 Jackson Lane Dale View</t>
  </si>
  <si>
    <t>Yorkshire</t>
  </si>
  <si>
    <t>DN3 3FX</t>
  </si>
  <si>
    <t>DSA7</t>
  </si>
  <si>
    <t>Wakefield 515, Grovehall Lane</t>
  </si>
  <si>
    <t>KNOTTINGLEY</t>
  </si>
  <si>
    <t>West Yorkshire</t>
  </si>
  <si>
    <t>WF11 0AB</t>
  </si>
  <si>
    <t>CWL1</t>
  </si>
  <si>
    <t>FFORDD AMAZON</t>
  </si>
  <si>
    <t>SWANSEA</t>
  </si>
  <si>
    <t>Wales</t>
  </si>
  <si>
    <t>SA1 8QX</t>
  </si>
  <si>
    <t>LPL2</t>
  </si>
  <si>
    <t>Unit 1 Marl Road, PLP Knowsley</t>
  </si>
  <si>
    <t>LIVERPOOL</t>
  </si>
  <si>
    <t>Lancashire</t>
  </si>
  <si>
    <t>L33 7AP</t>
  </si>
  <si>
    <t>XBH7</t>
  </si>
  <si>
    <t>Fortress Way,Suffolk Park</t>
  </si>
  <si>
    <t>Bury St. Edmunds</t>
  </si>
  <si>
    <t>Suffolk</t>
  </si>
  <si>
    <t>IP32 7FQ</t>
  </si>
  <si>
    <t>BHX2</t>
  </si>
  <si>
    <t>15B Beveridge Ln</t>
  </si>
  <si>
    <t>ellistown coalville</t>
  </si>
  <si>
    <t>Leicestershire</t>
  </si>
  <si>
    <t>LE67 1FB</t>
  </si>
  <si>
    <t>MAN4</t>
  </si>
  <si>
    <t>29 Gander Lane</t>
  </si>
  <si>
    <t>CHESTERFIELD</t>
  </si>
  <si>
    <t>Derbyshire</t>
  </si>
  <si>
    <t>S43 4PZ</t>
  </si>
  <si>
    <t>MAN2</t>
  </si>
  <si>
    <t>Omega Plot 7c Orion Boulevard</t>
  </si>
  <si>
    <t>Warrington</t>
  </si>
  <si>
    <t>North West England</t>
  </si>
  <si>
    <t>WA5 3XA</t>
  </si>
  <si>
    <t>XBH5</t>
  </si>
  <si>
    <t>Building MPS1 Hudson Way</t>
  </si>
  <si>
    <t>Magna Park South</t>
  </si>
  <si>
    <t>LUTTERWORTH</t>
  </si>
  <si>
    <t>East Midlands</t>
  </si>
  <si>
    <t>LE17 4XY</t>
  </si>
  <si>
    <t>BRS1</t>
  </si>
  <si>
    <t>Goldcrest Way，Bristol, South West</t>
  </si>
  <si>
    <t>Bristol</t>
  </si>
  <si>
    <t>BS35 4DJ</t>
  </si>
  <si>
    <t>XBH4</t>
  </si>
  <si>
    <t>GRAVELLY WAY
 CEVA Logistics</t>
  </si>
  <si>
    <t>WOLVERHAMPTON</t>
  </si>
  <si>
    <t>WV10 7GW</t>
  </si>
  <si>
    <t>EMA3</t>
  </si>
  <si>
    <t>AMAZON FULFILLMENT CENTER (EMA3)</t>
  </si>
  <si>
    <t>10 Oyster Road Eastwood</t>
  </si>
  <si>
    <t>Nottingham</t>
  </si>
  <si>
    <t>Nottinghamshire</t>
  </si>
  <si>
    <t>NG16 3UA</t>
  </si>
  <si>
    <t>AMZ-PRG1</t>
  </si>
  <si>
    <t>AMAZON FULFILLMENT CENTER (PRG1)</t>
  </si>
  <si>
    <t>U TRATI 216</t>
  </si>
  <si>
    <t>DOBROVIZ</t>
  </si>
  <si>
    <t>CZ</t>
  </si>
  <si>
    <t>AMZ-PRG2</t>
  </si>
  <si>
    <t>AMAZON FULFILLMENT CENTER (PRG2)</t>
  </si>
  <si>
    <t>K AMAZONU 235</t>
  </si>
  <si>
    <t>AMZ-MRS1</t>
  </si>
  <si>
    <t>AMAZON FULFILLMENT CENTER (MRS1)</t>
  </si>
  <si>
    <t>ZAC LES PORTES DE PROVENCE BUILDING II</t>
  </si>
  <si>
    <t>MONTELIMAR</t>
  </si>
  <si>
    <t>FR</t>
  </si>
  <si>
    <t>AMZ-CDFR</t>
  </si>
  <si>
    <t>ENTREPOT CDISCOUNT BAT B ENTREPOT C</t>
  </si>
  <si>
    <t>AMAZON FULFILLMENT CENTER (CDFR)</t>
  </si>
  <si>
    <t>ZONE D ACTIVITE POT AU PIN</t>
  </si>
  <si>
    <t>CANEJAN</t>
  </si>
  <si>
    <t>AMZ-XFRG</t>
  </si>
  <si>
    <t>ENTREPOT XPO LOGISTICS</t>
  </si>
  <si>
    <t>AMAZON FULFILLMENT CENTER (XFRG)</t>
  </si>
  <si>
    <t>101 LE CHEMIN DE POUPRY</t>
  </si>
  <si>
    <t>ARTENAY</t>
  </si>
  <si>
    <t>AMZ-ORY1</t>
  </si>
  <si>
    <t>AMAZON FULFILLMENT CENTER (ORY1)</t>
  </si>
  <si>
    <t>POLE 45 1401 RUE DU CHAMP ROUGE</t>
  </si>
  <si>
    <t>SARAN</t>
  </si>
  <si>
    <t>AMZ-XVA1</t>
  </si>
  <si>
    <t>Ceva Logistics France</t>
  </si>
  <si>
    <t>Amazon Fulfillment Center (XVA1)</t>
  </si>
  <si>
    <t>5 Rue Henri Guillaumet</t>
  </si>
  <si>
    <t>Bussy-Lettree</t>
  </si>
  <si>
    <t>AMZ-LIL1</t>
  </si>
  <si>
    <t>AMAZON FULFILLMENT CENTER (LIL1)</t>
  </si>
  <si>
    <t>1 RUE AMAZON</t>
  </si>
  <si>
    <t>LAUWIN PLANQUE</t>
  </si>
  <si>
    <t>LIL1</t>
  </si>
  <si>
    <t>Amazon.fr logistique SAS</t>
  </si>
  <si>
    <t>LIL8</t>
  </si>
  <si>
    <t>AMAZON FULFILLMENT CENTER (LIL8)</t>
  </si>
  <si>
    <t>1710 Rue de la Plaine</t>
  </si>
  <si>
    <t>Haut de france</t>
  </si>
  <si>
    <t>IBV3</t>
  </si>
  <si>
    <t>Amazon LIL8 (Lauwin-Planque, FR)</t>
  </si>
  <si>
    <t>XFR4</t>
  </si>
  <si>
    <t>XFR4 - IDL AFT-X (Estorf, DE)</t>
  </si>
  <si>
    <t>Mittelweserpark</t>
  </si>
  <si>
    <t>Brakenhof 20/24</t>
  </si>
  <si>
    <t>Estorf</t>
  </si>
  <si>
    <t>Lower Saxony</t>
  </si>
  <si>
    <t>DE</t>
  </si>
  <si>
    <t>31629</t>
  </si>
  <si>
    <t>RLG1</t>
  </si>
  <si>
    <t>Amazon Dummerstorf GmbH</t>
  </si>
  <si>
    <t>Gewerbepark Ostsee 3</t>
  </si>
  <si>
    <t>Dummerstorf</t>
  </si>
  <si>
    <t>Mecklenburg-Vorpommern</t>
  </si>
  <si>
    <t>AMZ-CDG7</t>
  </si>
  <si>
    <t>PARC ACTIVITES DES PORTES DE SENLIS</t>
  </si>
  <si>
    <t>AMAZON FULFILLMENT CENTER (CDG7)</t>
  </si>
  <si>
    <t>1 AVENUE ALAIN BOUCHER</t>
  </si>
  <si>
    <t>SENLIS</t>
  </si>
  <si>
    <t>AMZ-XOS1</t>
  </si>
  <si>
    <t>Amazon Fulfillment Center (XOS1)</t>
  </si>
  <si>
    <t>160 Rue de Corbehem</t>
  </si>
  <si>
    <t>Brebieres</t>
  </si>
  <si>
    <t>AMZ-LYS1</t>
  </si>
  <si>
    <t>AMAZON FULFILLMENT CENTER (LYS1)</t>
  </si>
  <si>
    <t>DISTRIPOLE CHALONS ZAC VAL DE BOURGOGNE</t>
  </si>
  <si>
    <t>SEVREY</t>
  </si>
  <si>
    <t>AMZ-XCD1</t>
  </si>
  <si>
    <t>AMAZON FULFILLMENT CENTER(XCD1)</t>
  </si>
  <si>
    <t>50 BOULEVARD DE L'EUROPE</t>
  </si>
  <si>
    <t>COMBS-LA-VILLE</t>
  </si>
  <si>
    <t>XFRJ</t>
  </si>
  <si>
    <t>IDL HB 3PL (Savigny le Temple, FR)</t>
  </si>
  <si>
    <t>7 rue du Chrome</t>
  </si>
  <si>
    <t>Savigny le Temple</t>
  </si>
  <si>
    <t>Ile de France</t>
  </si>
  <si>
    <t>AMZ-VESK</t>
  </si>
  <si>
    <t>AMAZON FULFILLMENT CENTER (VESK)</t>
  </si>
  <si>
    <t>AMZ-BVA1</t>
  </si>
  <si>
    <t>AMAZON FULFILLMENT CENTER (BVA1)</t>
  </si>
  <si>
    <t>Jules Verne Business Park</t>
  </si>
  <si>
    <t>AMIENS</t>
  </si>
  <si>
    <t>Hauts-de-France</t>
  </si>
  <si>
    <t>AMZ-ORY4</t>
  </si>
  <si>
    <t>AMAZON FULFILLMENT CENTER (ORY4)</t>
  </si>
  <si>
    <t>20 AVENUE DU CENTRE D ESSAI EN VOL</t>
  </si>
  <si>
    <t>BRETIGNY SUR ORGE</t>
  </si>
  <si>
    <t>AMZ-BER6</t>
  </si>
  <si>
    <t>AMAZON FULFILLMENT CENTER (BER6)</t>
  </si>
  <si>
    <t>AM BORSIGTURM 100</t>
  </si>
  <si>
    <t>BERLIN</t>
  </si>
  <si>
    <t>AMZ-BER8</t>
  </si>
  <si>
    <t>Amazon AFC BER8</t>
  </si>
  <si>
    <t>Am Möllenpfuhl 2</t>
  </si>
  <si>
    <t>Schoenefeld</t>
  </si>
  <si>
    <t>Bavaria</t>
  </si>
  <si>
    <t>BER8/IXD1</t>
  </si>
  <si>
    <t>Amazon Services BER8/IXD1</t>
  </si>
  <si>
    <t>AMZ-BER3</t>
  </si>
  <si>
    <t>AMAZON FULFILLMENT CENTER (BER3)</t>
  </si>
  <si>
    <t>HAVELLANDSTRASSE 5</t>
  </si>
  <si>
    <t>BRIESELANG</t>
  </si>
  <si>
    <t>AMZ-XDEA</t>
  </si>
  <si>
    <t>Amazon Fulfillment Center (XDEA)</t>
  </si>
  <si>
    <t>Robert-Guthmann Str. 30</t>
  </si>
  <si>
    <t>Königs Wusterhausen</t>
  </si>
  <si>
    <t>AMZ-HAM2</t>
  </si>
  <si>
    <t>AMAZON FULFILLMENT CENTER (HAM2)</t>
  </si>
  <si>
    <t>BORGWARDSTRASSE 10</t>
  </si>
  <si>
    <t>WINSEN AN DER LUHE</t>
  </si>
  <si>
    <t>AMZ-BRE4</t>
  </si>
  <si>
    <t>Amazon Fulfillment Center (BRE4)</t>
  </si>
  <si>
    <t>Max-Naumann-Strasse 1</t>
  </si>
  <si>
    <t>Achim</t>
  </si>
  <si>
    <t>AMZ-FRA1</t>
  </si>
  <si>
    <t>AMAZON FULFILLMENT CENTER (FRA1)</t>
  </si>
  <si>
    <t>AM SCHLOSS EICHHOF 1</t>
  </si>
  <si>
    <t>BAD HERSFELD</t>
  </si>
  <si>
    <t>AMZ-FRA3</t>
  </si>
  <si>
    <t>AMAZON FULFILLMENT CENTER (FRA3)</t>
  </si>
  <si>
    <t>AMAZONSTRASSE 1 / OBERE KUEHNBACH</t>
  </si>
  <si>
    <t>AMZ-HAJ1</t>
  </si>
  <si>
    <t>AMAZON FULFILLMENT CENTER(HAJ1)</t>
  </si>
  <si>
    <t>ZUR ALTEN MOLKEREI 1</t>
  </si>
  <si>
    <t>HELMSTEDT</t>
  </si>
  <si>
    <t>AMZ-LEJ3</t>
  </si>
  <si>
    <t>AMAZON FULFILLMENT CENTER (LEJ3)</t>
  </si>
  <si>
    <t>BIELEFELDER STRASSE 9</t>
  </si>
  <si>
    <t>SUELZETAL</t>
  </si>
  <si>
    <t>AMZ-DTM2</t>
  </si>
  <si>
    <t>AMAZON FULFILLMENT CENTER (DTM2)</t>
  </si>
  <si>
    <t>KALTBANDSTRASSE 4</t>
  </si>
  <si>
    <t>DORTMUND</t>
  </si>
  <si>
    <t>AMZ-DTM3</t>
  </si>
  <si>
    <t>AMAZON FULFILLMENT CENTER (DTM3)</t>
  </si>
  <si>
    <t>WARMBREITBANDSTRASSE 3</t>
  </si>
  <si>
    <t>DTM9</t>
  </si>
  <si>
    <t>Amazon Services DTM9/ITM9</t>
  </si>
  <si>
    <t>Amazon SZ NRW GmbH</t>
  </si>
  <si>
    <t>Brauckstraße 30</t>
  </si>
  <si>
    <t>Nordrhein-Westfalen</t>
  </si>
  <si>
    <t>AMZ-XDU2</t>
  </si>
  <si>
    <t>Amazon Fulfillment Center (XDU2)</t>
  </si>
  <si>
    <t>Im Lekkerland 2</t>
  </si>
  <si>
    <t>Oberhausen</t>
  </si>
  <si>
    <t>AMZ-DUS2</t>
  </si>
  <si>
    <t>AMAZON FULFILLMENT CENTER (DUS2)</t>
  </si>
  <si>
    <t>AMAZONSTRASSE 1</t>
  </si>
  <si>
    <t>RHEINBERG</t>
  </si>
  <si>
    <t>AMZ-CGN1</t>
  </si>
  <si>
    <t>AMAZON FULFILLMENT CENTER (CGN1)</t>
  </si>
  <si>
    <t>AMAZONSTRASSE 1 INDUSTRIEPARK A61</t>
  </si>
  <si>
    <t>KOBERN-GONDORF</t>
  </si>
  <si>
    <t>AMZ-XFR2</t>
  </si>
  <si>
    <t>Amazon Fulfillment Center (XFR2)</t>
  </si>
  <si>
    <t>Industriegebiet Alsberg 1</t>
  </si>
  <si>
    <t>Rennerod</t>
  </si>
  <si>
    <t>AMZ-PAD1</t>
  </si>
  <si>
    <t>AMAZON FULFILLMENT CENTER (PAD1)</t>
  </si>
  <si>
    <t>AUREA 10</t>
  </si>
  <si>
    <t>OELDE</t>
  </si>
  <si>
    <t>AMZ-DTM1</t>
  </si>
  <si>
    <t>AMAZON FULFILLMENT CENTER (DTM1)</t>
  </si>
  <si>
    <t>Raiffeisenstrasse 7</t>
  </si>
  <si>
    <t>WERNE</t>
  </si>
  <si>
    <t>AMZ-XFR1</t>
  </si>
  <si>
    <t>AMAZON FULFILLMENT CENTER (XFR1)</t>
  </si>
  <si>
    <t>ZUM HAARSTRAUCH 9-15</t>
  </si>
  <si>
    <t>HAMMERSBACH</t>
  </si>
  <si>
    <t>AMZ-XFR3</t>
  </si>
  <si>
    <t>AMAZON FULFILLMENT CENTER (XFR3)</t>
  </si>
  <si>
    <t>STADTRING 265</t>
  </si>
  <si>
    <t>MICHELSTADT, DARMSTADT</t>
  </si>
  <si>
    <t>AMZ-FRA7</t>
  </si>
  <si>
    <t>AMAZON FULFILLMENT CENTER (FRA7)</t>
  </si>
  <si>
    <t>AM ROEMIG 5</t>
  </si>
  <si>
    <t>FRANKENTHAL</t>
  </si>
  <si>
    <t>AMZ-XSC1</t>
  </si>
  <si>
    <t>Amazon Fulfillment Center (XSC1)</t>
  </si>
  <si>
    <t>Hans-Geiger-Strasse 7</t>
  </si>
  <si>
    <t>Kaiserslautern</t>
  </si>
  <si>
    <t>AMZ-XHA1</t>
  </si>
  <si>
    <t>AMAZON FULFILLMENT CENTER (XHA1)</t>
  </si>
  <si>
    <t>AM HOLZ 3A</t>
  </si>
  <si>
    <t>NEU WULMSTORF</t>
  </si>
  <si>
    <t>AMZ-STR1</t>
  </si>
  <si>
    <t>AMAZON FULFILLMENT CENTER (STR1)</t>
  </si>
  <si>
    <t>PFORZHEIM</t>
  </si>
  <si>
    <t>AMZ-DE-XPO1</t>
  </si>
  <si>
    <t>XPO1 via: Slam Poland Sp. z o.o.</t>
  </si>
  <si>
    <t>Amazon Fulfilment Center</t>
  </si>
  <si>
    <t>Am Zeugamt 6</t>
  </si>
  <si>
    <t>Oschatz</t>
  </si>
  <si>
    <t>Saxony</t>
  </si>
  <si>
    <t>04758</t>
  </si>
  <si>
    <t>KTW5</t>
  </si>
  <si>
    <t>KTW5 via: Slam Poland Sp. z o.o.</t>
  </si>
  <si>
    <t>AMZ-PL-XPO1</t>
  </si>
  <si>
    <t>XPO1 - IDL AFTX (Przytoczna, PL)</t>
  </si>
  <si>
    <t>ID Logistics Poland</t>
  </si>
  <si>
    <t>Nowa Niedrzwica 58</t>
  </si>
  <si>
    <t>Przytoczna</t>
  </si>
  <si>
    <t>Gmina Przytoczna</t>
  </si>
  <si>
    <t>PL</t>
  </si>
  <si>
    <t>66340</t>
  </si>
  <si>
    <t>XWR3</t>
  </si>
  <si>
    <t>XWR3 via: Slam Poland Sp. z o.o.</t>
  </si>
  <si>
    <t>AMAZON FULFILMENT CENTER (XWR3)</t>
  </si>
  <si>
    <t>Am Zeugamt 4</t>
  </si>
  <si>
    <t>KSF7/VELE</t>
  </si>
  <si>
    <t>Amazon Services KSF7/VELE</t>
  </si>
  <si>
    <t>Otto-Hahn-Strasse 3</t>
  </si>
  <si>
    <t>Wolfhagen</t>
  </si>
  <si>
    <t>Hesse</t>
  </si>
  <si>
    <t>34466</t>
  </si>
  <si>
    <t>KSF7</t>
  </si>
  <si>
    <t>Amazon Services KSF7</t>
  </si>
  <si>
    <t>AMZ-LEJ1</t>
  </si>
  <si>
    <t>AMAZON FULFILLMENT CENTER (LEJ1)</t>
  </si>
  <si>
    <t>LEIPZIG</t>
  </si>
  <si>
    <t>04347</t>
  </si>
  <si>
    <t>AMZ-FTL-WRO5</t>
  </si>
  <si>
    <t>Finsterwalder Transport &amp; Log GmbH</t>
  </si>
  <si>
    <t>AMAZON FULFILMENT CENTER (FTL-WRO5)</t>
  </si>
  <si>
    <t>Schieferstraße 16</t>
  </si>
  <si>
    <t>Halle</t>
  </si>
  <si>
    <t>06126</t>
  </si>
  <si>
    <t>AMZ-XDEV</t>
  </si>
  <si>
    <t>AMAZON FULFILLMENT CENTER</t>
  </si>
  <si>
    <t>GRONER SIEKANGER 3 (BUILDING A /NORTH)</t>
  </si>
  <si>
    <t>GOETTINGEN</t>
  </si>
  <si>
    <t>AMZ-XDU1</t>
  </si>
  <si>
    <t>AMAZON FULFILLMENT CENTER (XDU1)</t>
  </si>
  <si>
    <t>BORNWIESE 1</t>
  </si>
  <si>
    <t>MALSFELD</t>
  </si>
  <si>
    <t>34323</t>
  </si>
  <si>
    <t>AMZ-TRN1</t>
  </si>
  <si>
    <t>AMAZON FULFILLMENT CENTER (TRN1)</t>
  </si>
  <si>
    <t>PER RONDISSONE 90 STRADA PROVINCIALE</t>
  </si>
  <si>
    <t>TORRAZZA PIEDMONTE</t>
  </si>
  <si>
    <t>IT</t>
  </si>
  <si>
    <t>AMZ-MXP3</t>
  </si>
  <si>
    <t>AMAZON FULFILLMENT CENTER (MXP3)</t>
  </si>
  <si>
    <t>VIA RITA LEVI MONTALCINI 2</t>
  </si>
  <si>
    <t>VERCELLII</t>
  </si>
  <si>
    <t>AMZ-XITC</t>
  </si>
  <si>
    <t>GEODIS LOGISTICS FRANCOLINO DI CARPIANO</t>
  </si>
  <si>
    <t>AMAZON FULFILLMENT CENTER (XITC)</t>
  </si>
  <si>
    <t>VIA ALDO MORO 4</t>
  </si>
  <si>
    <t>FRANCOLINO DI CARPIANO</t>
  </si>
  <si>
    <t>AMZ-XMP2</t>
  </si>
  <si>
    <t>AMAZON FULFILMENT CENTER (XMP2)</t>
  </si>
  <si>
    <t>FRANCOLINO</t>
  </si>
  <si>
    <t>AMZ-BGY1</t>
  </si>
  <si>
    <t>Amazon Fulfillment Center (BGY1)</t>
  </si>
  <si>
    <t>Via Primo Maggio 8 Cividate al Piano</t>
  </si>
  <si>
    <t>BERGAMO</t>
  </si>
  <si>
    <t>AMZ-XLI3</t>
  </si>
  <si>
    <t>Amazon Fulfillment Center (XLI3)</t>
  </si>
  <si>
    <t xml:space="preserve">    Cividate al Piano</t>
  </si>
  <si>
    <t>Pavia</t>
  </si>
  <si>
    <t>AMZ-MXP6</t>
  </si>
  <si>
    <t>AMAZON FULFILMENT CENTER (MXP6）</t>
  </si>
  <si>
    <t>Amazon Italia Logistica S.R.L</t>
  </si>
  <si>
    <t>Strada Provinciale 299 snc AGOGNATE,</t>
  </si>
  <si>
    <t>NOVARA</t>
  </si>
  <si>
    <t>AMZ-MXP5</t>
  </si>
  <si>
    <t>AMAZON FULFILLMENT CENTER (MXP5)</t>
  </si>
  <si>
    <t>STRADA DOGANA PO 2U</t>
  </si>
  <si>
    <t>CASTEL SAN GIOVANNI</t>
  </si>
  <si>
    <t>AMZ-BLQ1</t>
  </si>
  <si>
    <t>AMAZON FULFILLMENT CENTER (BLQ1)</t>
  </si>
  <si>
    <t>VIA IPAZIA D ALESSANDRIA 946</t>
  </si>
  <si>
    <t>SAN BELLINO</t>
  </si>
  <si>
    <t>AMZ-XITD</t>
  </si>
  <si>
    <t>GEODIS LOGISTICS ARQUA POLESINE</t>
  </si>
  <si>
    <t>AMAZON FULFILLMENT CENTER (XITD)</t>
  </si>
  <si>
    <t>VIALE MAESTRI DEL LAVORO 990</t>
  </si>
  <si>
    <t>ARQUA POLESINE</t>
  </si>
  <si>
    <t>AMZ-XMP1</t>
  </si>
  <si>
    <t>AMAZON FULFILMENT CENTER (XMP1)</t>
  </si>
  <si>
    <t>VIA MAESTRI DEL LAVORO 990</t>
  </si>
  <si>
    <t>TRN3</t>
  </si>
  <si>
    <t>Amazon EU SARL - TRN3</t>
  </si>
  <si>
    <t>Str. John Fitzgerald Kennedy</t>
  </si>
  <si>
    <t>Piedmont</t>
  </si>
  <si>
    <t>Alessandria</t>
  </si>
  <si>
    <t>XOR4</t>
  </si>
  <si>
    <t>XOR4 - IDL AFTX ( St Sauveur, FR)</t>
  </si>
  <si>
    <t>370 rue des Gaulois</t>
  </si>
  <si>
    <t>St Sauveur</t>
  </si>
  <si>
    <t>Hauts de France</t>
  </si>
  <si>
    <t>AMZ-PSR2</t>
  </si>
  <si>
    <t>Amazon Fulfillment Center（PSR2）</t>
  </si>
  <si>
    <t>Viale Germania, 29</t>
  </si>
  <si>
    <t>San Salvo  CH</t>
  </si>
  <si>
    <t>AMZ-FCO2</t>
  </si>
  <si>
    <t>AMAZON FULFILLMENT CENTER (FCO2)</t>
  </si>
  <si>
    <t>VIA PALIANESE</t>
  </si>
  <si>
    <t>COLLEFERRO</t>
  </si>
  <si>
    <t>00034</t>
  </si>
  <si>
    <t>AMZ-FCO1</t>
  </si>
  <si>
    <t>AMAZON FULFILLMENT CENTER (FCO1)</t>
  </si>
  <si>
    <t>VIA DELLA MECCANICA 4</t>
  </si>
  <si>
    <t>PASSO CORESE</t>
  </si>
  <si>
    <t>02032</t>
  </si>
  <si>
    <t>AMZ-KTW1</t>
  </si>
  <si>
    <t>AMAZON FULFILLMENT CENTER (KTW1)</t>
  </si>
  <si>
    <t>ULICA INWESTYCYJNA 19</t>
  </si>
  <si>
    <t>SOSNOWIEC</t>
  </si>
  <si>
    <t>AMZ-XWR1</t>
  </si>
  <si>
    <t>AMAZON FULFILLMENT CENTER (XWR1)</t>
  </si>
  <si>
    <t>ULICA LOGISTYCZNA 4</t>
  </si>
  <si>
    <t>KRAJKOW</t>
  </si>
  <si>
    <t>AMZ-WRO1</t>
  </si>
  <si>
    <t>AMAZON FULFILLMENT CENTER (WRO1)</t>
  </si>
  <si>
    <t>ULICA CZEKOLADOWA 1</t>
  </si>
  <si>
    <t>BIELANY WROCLAWSKIE</t>
  </si>
  <si>
    <t>WRO1</t>
  </si>
  <si>
    <t>WRO1 via: Slam Poland Sp. z o.o.</t>
  </si>
  <si>
    <t>AMZ-WRO2</t>
  </si>
  <si>
    <t>AMAZON FULFILLMENT CENTER (WRO2)</t>
  </si>
  <si>
    <t>ULICA LOGISTYCZNA 6</t>
  </si>
  <si>
    <t>AMZ-WRO5</t>
  </si>
  <si>
    <t>Amazon Fulfillment Poland sp. z o.o.</t>
  </si>
  <si>
    <t>Okmiany Chojnow</t>
  </si>
  <si>
    <t>Okmiany</t>
  </si>
  <si>
    <t>Dolnoslaskie voivodeship</t>
  </si>
  <si>
    <t>AMZ-POZ1</t>
  </si>
  <si>
    <t>AMAZON FULFILLMENT CENTER (POZ1)</t>
  </si>
  <si>
    <t>ULICA POZNANSKA 1D</t>
  </si>
  <si>
    <t>SADY</t>
  </si>
  <si>
    <t>AMZ-SZZ1</t>
  </si>
  <si>
    <t>AMAZON FULFILLMENT CENTER (SZZ1)</t>
  </si>
  <si>
    <t>ULICA KOLBASKOWO 156</t>
  </si>
  <si>
    <t>SZCZECIN</t>
  </si>
  <si>
    <t>AMZ-LCJ3</t>
  </si>
  <si>
    <t>AMAZON FULFILLMENT CENTER (LCJ3)</t>
  </si>
  <si>
    <t>JOZEFOW 3</t>
  </si>
  <si>
    <t>LODZ</t>
  </si>
  <si>
    <t>AMZ-LCJ4</t>
  </si>
  <si>
    <t>AMAZON FULFILLMENT CENTER (LCJ4)</t>
  </si>
  <si>
    <t>ZAGLOBY 69</t>
  </si>
  <si>
    <t>AMZ-LCJ2</t>
  </si>
  <si>
    <t>AMAZON FULFILLMENT CENTER (LCJ2)</t>
  </si>
  <si>
    <t>PAWLIKOWICE 155</t>
  </si>
  <si>
    <t>PABIANICE</t>
  </si>
  <si>
    <t>AMZ-SCN2</t>
  </si>
  <si>
    <t>AMAZON FULFILLMENT CENTER (SCN2)</t>
  </si>
  <si>
    <t>Von-Miller-Straße 24</t>
  </si>
  <si>
    <t>Rhineland-Palatinate</t>
  </si>
  <si>
    <t>67661</t>
  </si>
  <si>
    <t>AMZ-XMA1</t>
  </si>
  <si>
    <t>Amazon Fulfillment Center (XMA1)</t>
  </si>
  <si>
    <t>Avenida Rio Henares, 16</t>
  </si>
  <si>
    <t>Alovera</t>
  </si>
  <si>
    <t>ES</t>
  </si>
  <si>
    <t>AMZ-MAD5</t>
  </si>
  <si>
    <t>AMAZON FULFILLMENT CENTER (MAD5)</t>
  </si>
  <si>
    <t>POLIGONO DE LOS VAILANES</t>
  </si>
  <si>
    <t>MADRID</t>
  </si>
  <si>
    <t>AMZ-MAD9</t>
  </si>
  <si>
    <t>AMAZON FULFILLMENT CENTER (MAD9)</t>
  </si>
  <si>
    <t>CAMINO DE LOS AFLIGIDOS</t>
  </si>
  <si>
    <t>ALCALA DE HENARES</t>
  </si>
  <si>
    <t>MAD9</t>
  </si>
  <si>
    <t>Amazon Spain Fulfillment, S.L.U.</t>
  </si>
  <si>
    <t>Madrid</t>
  </si>
  <si>
    <t>28804</t>
  </si>
  <si>
    <t>AMZ-MAD4</t>
  </si>
  <si>
    <t>AMAZON FULFILLMENT CENTER (MAD4)</t>
  </si>
  <si>
    <t>AVENIDA DE LA ASTRONOMIA 24</t>
  </si>
  <si>
    <t>SAN FERNANDO DE HENARES</t>
  </si>
  <si>
    <t>AMZ-MAD8</t>
  </si>
  <si>
    <t>AMAZON FULFILLMENT CENTER (MAD8)</t>
  </si>
  <si>
    <t>CALLE RACHEL CARSON 2</t>
  </si>
  <si>
    <t>AMZ-RMU1</t>
  </si>
  <si>
    <t>Amazon Fulfillment Center (RMU1)</t>
  </si>
  <si>
    <t>Calle Isidro Vivancos Munoz Parque</t>
  </si>
  <si>
    <t>Murcia</t>
  </si>
  <si>
    <t>AMZ-SVQ1</t>
  </si>
  <si>
    <t>AMAZON FULFILLMENT CENTER (SVQ1)</t>
  </si>
  <si>
    <t>POLIGONO SEN 22</t>
  </si>
  <si>
    <t>DOS HERMANAS</t>
  </si>
  <si>
    <t>AMZ-MAD6</t>
  </si>
  <si>
    <t>AMAZON FULFILLMENT CENTER (MAD6)</t>
  </si>
  <si>
    <t>AVENIDA DE LA LOGISTICA 13</t>
  </si>
  <si>
    <t>CASTILE-LA MANCHA, ILLESCAS</t>
  </si>
  <si>
    <t>AMZ-MAD7</t>
  </si>
  <si>
    <t>AMAZON FULFILLMENT CENTER(MAD7)</t>
  </si>
  <si>
    <t>CTRA ANTIGUA MADRID- TOLEDO, 38D</t>
  </si>
  <si>
    <t>ILLESCAS</t>
  </si>
  <si>
    <t>AMZ-XMA3</t>
  </si>
  <si>
    <t>Amazon Fulfillment Center (XMA3)</t>
  </si>
  <si>
    <t>P.I. Dehesa de la Plata</t>
  </si>
  <si>
    <t>Ontigola Toledo</t>
  </si>
  <si>
    <t>AMZ-BCN2</t>
  </si>
  <si>
    <t>AMAZON FULFILLMENT CENTER (BCN2)</t>
  </si>
  <si>
    <t>CARRER DE LA VERNEDA 22</t>
  </si>
  <si>
    <t>MARTORELLES</t>
  </si>
  <si>
    <t>08107</t>
  </si>
  <si>
    <t>AMZ-BCN3</t>
  </si>
  <si>
    <t>AMAZON FULFILLMENT CENTER (BCN3)</t>
  </si>
  <si>
    <t>CARRER FERRO 12</t>
  </si>
  <si>
    <t>CASTELLBISBAL</t>
  </si>
  <si>
    <t>08755</t>
  </si>
  <si>
    <t>AMZ-BCN1</t>
  </si>
  <si>
    <t>AMAZON FULFILLMENT CENTER (BCN1)</t>
  </si>
  <si>
    <t>AVIGUNDA DE LES GARRIGUES 6-8</t>
  </si>
  <si>
    <t>EL PRAT DE LLOBREGAT</t>
  </si>
  <si>
    <t>08820</t>
  </si>
  <si>
    <t>AMZ-BCN8</t>
  </si>
  <si>
    <t>AMAZON FULFILLMENT CENTER (BCN8)</t>
  </si>
  <si>
    <t>Carrer Ca n'Alzina, 161 Sabadell</t>
  </si>
  <si>
    <t>Barcelona</t>
  </si>
  <si>
    <t>08210</t>
  </si>
  <si>
    <t>AMZ-ZAZ1</t>
  </si>
  <si>
    <t>Polígono – Plataforma Logística de</t>
  </si>
  <si>
    <t>Amazon Fulfillment Center (ZAZ1)</t>
  </si>
  <si>
    <t>Parcelas: ALI-28 y ALI-2</t>
  </si>
  <si>
    <t>Zaragoza</t>
  </si>
  <si>
    <t>Aragon</t>
  </si>
  <si>
    <t xml:space="preserve"> 50197</t>
  </si>
  <si>
    <t>VLC1</t>
  </si>
  <si>
    <t>Amazon Fulfillment Center（VLC1）</t>
  </si>
  <si>
    <t>Calle Panama, 28</t>
  </si>
  <si>
    <t>Onda, Castellon</t>
  </si>
  <si>
    <t>XOR2</t>
  </si>
  <si>
    <t>Amazon Fulfillment Center（XOR2）</t>
  </si>
  <si>
    <t>Satolas Parc des Chenes Nord Rue du Brisson Batiment IDC9</t>
  </si>
  <si>
    <t>Satolas-et-Bonce</t>
  </si>
  <si>
    <t>LEJ5</t>
  </si>
  <si>
    <t>Amazon Fulfillment Center (LEJ5)</t>
  </si>
  <si>
    <t>Am Steingarten 2</t>
  </si>
  <si>
    <t>GERA</t>
  </si>
  <si>
    <t>07554</t>
  </si>
  <si>
    <t>AMZ-XMP4</t>
  </si>
  <si>
    <t>Amazon Fulfillment Center(XMP4)</t>
  </si>
  <si>
    <t>Zona Industriale Strada per Silvano Petra</t>
  </si>
  <si>
    <t>Casei Gerola, Lombardy</t>
  </si>
  <si>
    <t>BLQ8/IFC1</t>
  </si>
  <si>
    <t>AmazonFulfillmentCenterBLQ8/IFC1</t>
  </si>
  <si>
    <t>Via Pelloni 5</t>
  </si>
  <si>
    <t>Spilamberto,Modena</t>
  </si>
  <si>
    <t>BLQ8</t>
  </si>
  <si>
    <t>AmazonFulfillmentCenterBLQ8</t>
  </si>
  <si>
    <t>MHG9</t>
  </si>
  <si>
    <t>AMAZON FULFILLMENT CENTER (MHG9)</t>
  </si>
  <si>
    <t>Ossenheimer Straße 7</t>
  </si>
  <si>
    <t>Kleinostheim</t>
  </si>
  <si>
    <t>63801</t>
  </si>
  <si>
    <t>MHG9/IDU4</t>
  </si>
  <si>
    <t>Amazon Services MHG9/IDU4</t>
  </si>
  <si>
    <t>XOR1</t>
  </si>
  <si>
    <t>AmazonFulfillmentCenter(XOR1)</t>
  </si>
  <si>
    <t>Parcd activitedel A52449RueDenisPapin</t>
  </si>
  <si>
    <t>Reau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</si>
</sst>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2">
    <font>
      <sz val="11"/>
      <color theme="1"/>
      <name val="DengXian"/>
      <charset val="134"/>
      <scheme val="minor"/>
    </font>
    <font>
      <sz val="9"/>
      <color theme="1"/>
      <name val="微软雅黑"/>
      <charset val="134"/>
    </font>
    <font>
      <sz val="9"/>
      <color indexed="10"/>
      <name val="微软雅黑"/>
      <charset val="134"/>
    </font>
    <font>
      <sz val="10"/>
      <color theme="1"/>
      <name val="DengXian"/>
      <charset val="134"/>
      <scheme val="minor"/>
    </font>
    <font>
      <sz val="9"/>
      <color theme="1"/>
      <name val="DengXian"/>
      <charset val="134"/>
      <scheme val="minor"/>
    </font>
    <font>
      <b/>
      <u/>
      <sz val="48"/>
      <color theme="4" tint="-0.499984740745262"/>
      <name val="DengXian"/>
      <charset val="134"/>
      <scheme val="minor"/>
    </font>
    <font>
      <b/>
      <u/>
      <sz val="14"/>
      <color rgb="FFFF0000"/>
      <name val="DengXian"/>
      <charset val="134"/>
      <scheme val="minor"/>
    </font>
    <font>
      <b/>
      <sz val="12"/>
      <color theme="3" tint="-0.249977111117893"/>
      <name val="DengXian"/>
      <charset val="134"/>
      <scheme val="minor"/>
    </font>
    <font>
      <b/>
      <sz val="18"/>
      <color rgb="FFFF0000"/>
      <name val="DengXian"/>
      <charset val="134"/>
      <scheme val="minor"/>
    </font>
    <font>
      <b/>
      <sz val="18"/>
      <color theme="3" tint="-0.249977111117893"/>
      <name val="DengXian"/>
      <charset val="134"/>
      <scheme val="minor"/>
    </font>
    <font>
      <b/>
      <sz val="16"/>
      <color rgb="FFFF0000"/>
      <name val="DengXian"/>
      <charset val="134"/>
      <scheme val="minor"/>
    </font>
    <font>
      <b/>
      <sz val="12"/>
      <color rgb="FFFF0000"/>
      <name val="DengXian"/>
      <charset val="134"/>
      <scheme val="minor"/>
    </font>
    <font>
      <sz val="12"/>
      <color theme="3" tint="-0.249977111117893"/>
      <name val="DengXian"/>
      <charset val="134"/>
      <scheme val="minor"/>
    </font>
    <font>
      <sz val="14"/>
      <color theme="3" tint="-0.249977111117893"/>
      <name val="DengXian"/>
      <charset val="134"/>
      <scheme val="minor"/>
    </font>
    <font>
      <b/>
      <sz val="14"/>
      <color theme="3" tint="-0.249977111117893"/>
      <name val="DengXian"/>
      <charset val="134"/>
      <scheme val="minor"/>
    </font>
    <font>
      <sz val="10"/>
      <color theme="3" tint="-0.249977111117893"/>
      <name val="DengXian"/>
      <charset val="134"/>
      <scheme val="minor"/>
    </font>
    <font>
      <b/>
      <sz val="11"/>
      <color rgb="FFFF7777"/>
      <name val="DengXian"/>
      <charset val="134"/>
      <scheme val="minor"/>
    </font>
    <font>
      <b/>
      <sz val="12"/>
      <color theme="3" tint="0.599993896298105"/>
      <name val="DengXian"/>
      <charset val="134"/>
      <scheme val="minor"/>
    </font>
    <font>
      <sz val="12"/>
      <color theme="3" tint="0.599993896298105"/>
      <name val="DengXian"/>
      <charset val="134"/>
      <scheme val="minor"/>
    </font>
    <font>
      <b/>
      <sz val="11"/>
      <color theme="3" tint="-0.249977111117893"/>
      <name val="DengXian"/>
      <charset val="134"/>
      <scheme val="minor"/>
    </font>
    <font>
      <u/>
      <sz val="11"/>
      <color rgb="FF800080"/>
      <name val="DengXian"/>
      <charset val="134"/>
      <scheme val="minor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name val="宋体"/>
      <charset val="134"/>
    </font>
    <font>
      <sz val="9"/>
      <color indexed="8"/>
      <name val="微软雅黑"/>
      <charset val="134"/>
    </font>
    <font>
      <b/>
      <sz val="12"/>
      <color indexed="10"/>
      <name val="DengXian"/>
      <charset val="134"/>
    </font>
    <font>
      <sz val="12"/>
      <color indexed="10"/>
      <name val="DengXian"/>
      <charset val="134"/>
    </font>
    <font>
      <sz val="11"/>
      <color indexed="10"/>
      <name val="DengXian"/>
      <charset val="134"/>
    </font>
    <font>
      <b/>
      <sz val="11"/>
      <color indexed="10"/>
      <name val="DengXian"/>
      <charset val="134"/>
    </font>
    <font>
      <b/>
      <sz val="12"/>
      <color indexed="56"/>
      <name val="DengXian"/>
      <charset val="134"/>
    </font>
    <font>
      <b/>
      <sz val="11"/>
      <color indexed="63"/>
      <name val="DengXian"/>
      <charset val="134"/>
    </font>
    <font>
      <sz val="9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E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3" tint="0.399975585192419"/>
      </left>
      <right style="thin">
        <color theme="3" tint="0.399975585192419"/>
      </right>
      <top/>
      <bottom style="thin">
        <color theme="3" tint="0.399975585192419"/>
      </bottom>
      <diagonal/>
    </border>
    <border>
      <left style="thin">
        <color theme="3" tint="0.399975585192419"/>
      </left>
      <right/>
      <top/>
      <bottom style="thin">
        <color theme="3" tint="0.399975585192419"/>
      </bottom>
      <diagonal/>
    </border>
    <border>
      <left/>
      <right/>
      <top/>
      <bottom style="thin">
        <color theme="3" tint="0.399975585192419"/>
      </bottom>
      <diagonal/>
    </border>
    <border>
      <left/>
      <right style="thin">
        <color theme="3" tint="0.399975585192419"/>
      </right>
      <top/>
      <bottom style="thin">
        <color theme="3" tint="0.399975585192419"/>
      </bottom>
      <diagonal/>
    </border>
    <border>
      <left style="thin">
        <color theme="3" tint="0.399975585192419"/>
      </left>
      <right style="thin">
        <color theme="3" tint="0.399975585192419"/>
      </right>
      <top style="thin">
        <color theme="3" tint="0.399975585192419"/>
      </top>
      <bottom style="thin">
        <color theme="3" tint="0.399975585192419"/>
      </bottom>
      <diagonal/>
    </border>
    <border>
      <left style="thin">
        <color theme="3" tint="0.399975585192419"/>
      </left>
      <right/>
      <top style="thin">
        <color theme="3" tint="0.399975585192419"/>
      </top>
      <bottom style="thin">
        <color theme="3" tint="0.399975585192419"/>
      </bottom>
      <diagonal/>
    </border>
    <border>
      <left/>
      <right/>
      <top style="thin">
        <color theme="3" tint="0.399975585192419"/>
      </top>
      <bottom style="thin">
        <color theme="3" tint="0.399975585192419"/>
      </bottom>
      <diagonal/>
    </border>
    <border>
      <left/>
      <right style="thin">
        <color theme="3" tint="0.399975585192419"/>
      </right>
      <top style="thin">
        <color theme="3" tint="0.399975585192419"/>
      </top>
      <bottom style="thin">
        <color theme="3" tint="0.399975585192419"/>
      </bottom>
      <diagonal/>
    </border>
    <border>
      <left style="thin">
        <color theme="3" tint="0.399975585192419"/>
      </left>
      <right style="thin">
        <color theme="3" tint="0.399975585192419"/>
      </right>
      <top style="thin">
        <color theme="3" tint="0.399975585192419"/>
      </top>
      <bottom/>
      <diagonal/>
    </border>
    <border>
      <left style="thin">
        <color theme="3" tint="0.399975585192419"/>
      </left>
      <right/>
      <top style="thin">
        <color theme="3" tint="0.399975585192419"/>
      </top>
      <bottom/>
      <diagonal/>
    </border>
    <border>
      <left/>
      <right/>
      <top style="thin">
        <color theme="3" tint="0.399975585192419"/>
      </top>
      <bottom/>
      <diagonal/>
    </border>
    <border>
      <left style="thin">
        <color theme="3" tint="-0.249977111117893"/>
      </left>
      <right/>
      <top style="thin">
        <color theme="3" tint="0.399975585192419"/>
      </top>
      <bottom style="thin">
        <color theme="3" tint="0.399975585192419"/>
      </bottom>
      <diagonal/>
    </border>
    <border>
      <left style="thin">
        <color theme="3" tint="0.399975585192419"/>
      </left>
      <right/>
      <top/>
      <bottom/>
      <diagonal/>
    </border>
    <border>
      <left/>
      <right style="thin">
        <color theme="3" tint="0.399975585192419"/>
      </right>
      <top style="thin">
        <color theme="3" tint="0.399975585192419"/>
      </top>
      <bottom/>
      <diagonal/>
    </border>
    <border>
      <left/>
      <right style="thin">
        <color theme="3" tint="0.39997558519241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0" fillId="9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20" applyNumberFormat="0" applyAlignment="0" applyProtection="0">
      <alignment vertical="center"/>
    </xf>
    <xf numFmtId="0" fontId="30" fillId="11" borderId="21" applyNumberFormat="0" applyAlignment="0" applyProtection="0">
      <alignment vertical="center"/>
    </xf>
    <xf numFmtId="0" fontId="31" fillId="11" borderId="20" applyNumberFormat="0" applyAlignment="0" applyProtection="0">
      <alignment vertical="center"/>
    </xf>
    <xf numFmtId="0" fontId="32" fillId="12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0" borderId="0"/>
    <xf numFmtId="0" fontId="39" fillId="0" borderId="0">
      <alignment vertical="center"/>
    </xf>
  </cellStyleXfs>
  <cellXfs count="72">
    <xf numFmtId="0" fontId="0" fillId="0" borderId="0" xfId="0"/>
    <xf numFmtId="0" fontId="1" fillId="2" borderId="0" xfId="0" applyFont="1" applyFill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3" borderId="0" xfId="0" applyFont="1" applyFill="1" applyAlignment="1" applyProtection="1">
      <alignment horizontal="center"/>
    </xf>
    <xf numFmtId="0" fontId="1" fillId="4" borderId="0" xfId="0" applyFont="1" applyFill="1" applyAlignment="1" applyProtection="1">
      <alignment horizontal="center"/>
    </xf>
    <xf numFmtId="49" fontId="1" fillId="2" borderId="0" xfId="0" applyNumberFormat="1" applyFont="1" applyFill="1" applyAlignment="1" applyProtection="1">
      <alignment horizontal="center"/>
    </xf>
    <xf numFmtId="49" fontId="2" fillId="2" borderId="0" xfId="0" applyNumberFormat="1" applyFont="1" applyFill="1" applyAlignment="1" applyProtection="1">
      <alignment horizont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0" fillId="3" borderId="0" xfId="0" applyFill="1" applyBorder="1" applyAlignment="1" applyProtection="1">
      <alignment horizontal="center" vertical="center" wrapText="1"/>
    </xf>
    <xf numFmtId="0" fontId="0" fillId="3" borderId="0" xfId="0" applyFont="1" applyFill="1" applyBorder="1" applyAlignment="1" applyProtection="1">
      <alignment horizontal="center" vertical="center" wrapText="1"/>
    </xf>
    <xf numFmtId="49" fontId="1" fillId="3" borderId="0" xfId="0" applyNumberFormat="1" applyFont="1" applyFill="1" applyAlignment="1" applyProtection="1">
      <alignment horizontal="center" wrapText="1"/>
    </xf>
    <xf numFmtId="49" fontId="1" fillId="4" borderId="0" xfId="0" applyNumberFormat="1" applyFont="1" applyFill="1" applyAlignment="1" applyProtection="1">
      <alignment horizontal="center"/>
    </xf>
    <xf numFmtId="0" fontId="3" fillId="3" borderId="0" xfId="0" applyFont="1" applyFill="1" applyBorder="1" applyAlignment="1" applyProtection="1">
      <alignment horizontal="center" vertical="center"/>
    </xf>
    <xf numFmtId="49" fontId="1" fillId="3" borderId="0" xfId="0" applyNumberFormat="1" applyFont="1" applyFill="1" applyAlignment="1" applyProtection="1">
      <alignment horizontal="center"/>
    </xf>
    <xf numFmtId="0" fontId="0" fillId="3" borderId="0" xfId="0" applyFill="1" applyBorder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/>
    </xf>
    <xf numFmtId="0" fontId="0" fillId="4" borderId="0" xfId="0" applyFill="1" applyProtection="1"/>
    <xf numFmtId="0" fontId="0" fillId="0" borderId="0" xfId="0" applyFont="1" applyProtection="1"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NumberFormat="1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5" fillId="4" borderId="0" xfId="0" applyFont="1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horizontal="center" vertical="center" wrapText="1"/>
      <protection locked="0"/>
    </xf>
    <xf numFmtId="0" fontId="7" fillId="5" borderId="3" xfId="0" applyFont="1" applyFill="1" applyBorder="1" applyAlignment="1" applyProtection="1">
      <alignment horizontal="center" vertical="center" wrapText="1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8" fillId="6" borderId="5" xfId="0" applyFont="1" applyFill="1" applyBorder="1" applyAlignment="1" applyProtection="1">
      <alignment horizontal="center" vertical="center" wrapText="1"/>
      <protection locked="0"/>
    </xf>
    <xf numFmtId="0" fontId="9" fillId="6" borderId="6" xfId="0" applyFont="1" applyFill="1" applyBorder="1" applyAlignment="1" applyProtection="1">
      <alignment horizontal="center" vertical="center" wrapText="1"/>
      <protection locked="0"/>
    </xf>
    <xf numFmtId="0" fontId="9" fillId="6" borderId="7" xfId="0" applyFont="1" applyFill="1" applyBorder="1" applyAlignment="1" applyProtection="1">
      <alignment horizontal="center" vertical="center" wrapText="1"/>
      <protection locked="0"/>
    </xf>
    <xf numFmtId="0" fontId="9" fillId="6" borderId="8" xfId="0" applyFont="1" applyFill="1" applyBorder="1" applyAlignment="1" applyProtection="1">
      <alignment horizontal="center" vertical="center" wrapText="1"/>
      <protection locked="0"/>
    </xf>
    <xf numFmtId="0" fontId="10" fillId="7" borderId="5" xfId="0" applyFont="1" applyFill="1" applyBorder="1" applyAlignment="1" applyProtection="1">
      <alignment horizontal="center" vertical="center" wrapText="1"/>
      <protection locked="0"/>
    </xf>
    <xf numFmtId="0" fontId="7" fillId="7" borderId="6" xfId="0" applyFont="1" applyFill="1" applyBorder="1" applyAlignment="1" applyProtection="1">
      <alignment horizontal="center" vertical="center" wrapText="1"/>
      <protection locked="0"/>
    </xf>
    <xf numFmtId="0" fontId="7" fillId="7" borderId="7" xfId="0" applyFont="1" applyFill="1" applyBorder="1" applyAlignment="1" applyProtection="1">
      <alignment horizontal="center" vertical="center" wrapText="1"/>
      <protection locked="0"/>
    </xf>
    <xf numFmtId="0" fontId="7" fillId="7" borderId="8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alignment horizontal="center" vertical="center" wrapText="1"/>
      <protection locked="0"/>
    </xf>
    <xf numFmtId="0" fontId="12" fillId="0" borderId="6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 applyProtection="1">
      <alignment horizontal="center" vertical="center" wrapText="1"/>
      <protection locked="0"/>
    </xf>
    <xf numFmtId="0" fontId="12" fillId="0" borderId="5" xfId="0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Fill="1" applyBorder="1" applyAlignment="1" applyProtection="1">
      <alignment horizontal="center" vertical="center" wrapText="1"/>
      <protection locked="0"/>
    </xf>
    <xf numFmtId="0" fontId="14" fillId="0" borderId="7" xfId="0" applyFont="1" applyFill="1" applyBorder="1" applyAlignment="1" applyProtection="1">
      <alignment horizontal="center" vertical="center" wrapText="1"/>
      <protection locked="0"/>
    </xf>
    <xf numFmtId="0" fontId="7" fillId="8" borderId="5" xfId="0" applyFont="1" applyFill="1" applyBorder="1" applyAlignment="1" applyProtection="1">
      <alignment horizontal="center" vertical="center" wrapText="1"/>
      <protection locked="0"/>
    </xf>
    <xf numFmtId="0" fontId="12" fillId="0" borderId="9" xfId="0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Fill="1" applyBorder="1" applyAlignment="1" applyProtection="1">
      <alignment horizontal="center" vertical="center" wrapText="1"/>
      <protection locked="0"/>
    </xf>
    <xf numFmtId="0" fontId="15" fillId="0" borderId="5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Fill="1" applyBorder="1" applyAlignment="1" applyProtection="1">
      <alignment horizontal="center" vertical="center" wrapText="1"/>
      <protection locked="0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center" vertical="center" wrapText="1"/>
      <protection locked="0"/>
    </xf>
    <xf numFmtId="0" fontId="16" fillId="0" borderId="10" xfId="6" applyFont="1" applyFill="1" applyBorder="1" applyAlignment="1" applyProtection="1">
      <alignment horizontal="center" vertical="center" wrapText="1"/>
    </xf>
    <xf numFmtId="0" fontId="16" fillId="0" borderId="11" xfId="6" applyFont="1" applyFill="1" applyBorder="1" applyAlignment="1" applyProtection="1">
      <alignment horizontal="center" vertical="center" wrapText="1"/>
    </xf>
    <xf numFmtId="0" fontId="17" fillId="0" borderId="11" xfId="6" applyFont="1" applyFill="1" applyBorder="1" applyAlignment="1" applyProtection="1">
      <alignment vertical="center" wrapText="1"/>
      <protection locked="0"/>
    </xf>
    <xf numFmtId="0" fontId="17" fillId="0" borderId="11" xfId="6" applyFont="1" applyFill="1" applyBorder="1" applyAlignment="1" applyProtection="1">
      <alignment horizontal="center" vertical="center" wrapText="1"/>
    </xf>
    <xf numFmtId="0" fontId="16" fillId="0" borderId="13" xfId="6" applyFont="1" applyFill="1" applyBorder="1" applyAlignment="1" applyProtection="1">
      <alignment horizontal="center" vertical="center" wrapText="1"/>
    </xf>
    <xf numFmtId="0" fontId="16" fillId="0" borderId="0" xfId="6" applyFont="1" applyFill="1" applyBorder="1" applyAlignment="1" applyProtection="1">
      <alignment horizontal="center" vertical="center" wrapText="1"/>
    </xf>
    <xf numFmtId="0" fontId="18" fillId="0" borderId="0" xfId="6" applyFont="1" applyFill="1" applyBorder="1" applyAlignment="1" applyProtection="1">
      <alignment vertical="top" wrapText="1"/>
      <protection locked="0"/>
    </xf>
    <xf numFmtId="0" fontId="17" fillId="0" borderId="0" xfId="6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9" fillId="8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6" applyFont="1" applyFill="1" applyBorder="1" applyAlignment="1" applyProtection="1">
      <alignment horizontal="center" vertical="center" wrapText="1"/>
      <protection locked="0"/>
    </xf>
    <xf numFmtId="0" fontId="20" fillId="0" borderId="5" xfId="6" applyFont="1" applyFill="1" applyBorder="1" applyAlignment="1" applyProtection="1">
      <alignment horizontal="center" vertical="center" wrapText="1"/>
      <protection locked="0"/>
    </xf>
    <xf numFmtId="0" fontId="17" fillId="0" borderId="14" xfId="6" applyFont="1" applyFill="1" applyBorder="1" applyAlignment="1" applyProtection="1">
      <alignment horizontal="center" vertical="center" wrapText="1"/>
    </xf>
    <xf numFmtId="0" fontId="17" fillId="0" borderId="15" xfId="6" applyFont="1" applyFill="1" applyBorder="1" applyAlignment="1" applyProtection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35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FDE9D9"/>
      <color rgb="00D9D9D9"/>
      <color rgb="00DCE6F1"/>
      <color rgb="00FF7777"/>
      <color rgb="00DD0806"/>
      <color rgb="0016365C"/>
      <color rgb="008DB4E2"/>
      <color rgb="00FCD5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4future.com/" TargetMode="External"/><Relationship Id="rId8" Type="http://schemas.openxmlformats.org/officeDocument/2006/relationships/hyperlink" Target="https://ai.viaeurope.com/customsvalue-calculator/" TargetMode="External"/><Relationship Id="rId7" Type="http://schemas.openxmlformats.org/officeDocument/2006/relationships/hyperlink" Target="https://ec.europa.eu/taxation_customs/dds2/taric/taric_consultation.jsp?Lang=en" TargetMode="External"/><Relationship Id="rId6" Type="http://schemas.openxmlformats.org/officeDocument/2006/relationships/hyperlink" Target="https://ec.europa.eu/taxation_customs/vies/#/vat-validation" TargetMode="External"/><Relationship Id="rId5" Type="http://schemas.openxmlformats.org/officeDocument/2006/relationships/hyperlink" Target="https://www.gov.uk/guidance/rates-of-vat-on-different-goods-and-services#introduction" TargetMode="External"/><Relationship Id="rId4" Type="http://schemas.openxmlformats.org/officeDocument/2006/relationships/hyperlink" Target="https://www.trade-tariff.service.gov.uk/find_commodity" TargetMode="External"/><Relationship Id="rId3" Type="http://schemas.openxmlformats.org/officeDocument/2006/relationships/hyperlink" Target="https://www.gov.uk/check-uk-vat-number" TargetMode="External"/><Relationship Id="rId2" Type="http://schemas.openxmlformats.org/officeDocument/2006/relationships/vmlDrawing" Target="../drawings/vmlDrawing1.vml"/><Relationship Id="rId11" Type="http://schemas.openxmlformats.org/officeDocument/2006/relationships/hyperlink" Target="https://ec.europa.eu/taxation_customs/dds2/eos/eori_validation.jsp?Lang=en" TargetMode="External"/><Relationship Id="rId10" Type="http://schemas.openxmlformats.org/officeDocument/2006/relationships/hyperlink" Target="http://smtgyl.nextsls.com/wos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7"/>
  <sheetViews>
    <sheetView showGridLines="0" tabSelected="1" zoomScale="70" zoomScaleNormal="70" zoomScaleSheetLayoutView="85" workbookViewId="0">
      <selection activeCell="A6" sqref="A6:D6"/>
    </sheetView>
  </sheetViews>
  <sheetFormatPr defaultColWidth="11" defaultRowHeight="69.95" customHeight="1"/>
  <cols>
    <col min="1" max="1" width="26.125" style="22" customWidth="1"/>
    <col min="2" max="4" width="14.625" style="22" customWidth="1"/>
    <col min="5" max="5" width="26.125" style="23" customWidth="1"/>
    <col min="6" max="6" width="10.5" style="22" customWidth="1"/>
    <col min="7" max="7" width="11.9017857142857" style="24" customWidth="1"/>
    <col min="8" max="8" width="10.5" style="25" customWidth="1"/>
    <col min="9" max="9" width="15.625" style="22" customWidth="1"/>
    <col min="10" max="10" width="21.375" style="22" customWidth="1"/>
    <col min="11" max="11" width="24.875" style="22" customWidth="1"/>
    <col min="12" max="12" width="12.625" style="23" customWidth="1"/>
    <col min="13" max="13" width="16.625" style="23" customWidth="1"/>
    <col min="14" max="15" width="8.625" style="26" customWidth="1"/>
    <col min="16" max="18" width="8.625" style="23" customWidth="1"/>
    <col min="19" max="16384" width="11" style="22"/>
  </cols>
  <sheetData>
    <row r="1" ht="27.95" customHeight="1" spans="1:18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customHeight="1" spans="1:18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="19" customFormat="1" ht="32.1" customHeight="1" spans="1:18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="20" customFormat="1" ht="36" spans="1:18">
      <c r="A4" s="29" t="s">
        <v>2</v>
      </c>
      <c r="B4" s="30" t="s">
        <v>3</v>
      </c>
      <c r="C4" s="31"/>
      <c r="D4" s="32"/>
      <c r="E4" s="29" t="s">
        <v>4</v>
      </c>
      <c r="F4" s="30" t="s">
        <v>5</v>
      </c>
      <c r="G4" s="31"/>
      <c r="H4" s="31"/>
      <c r="I4" s="30" t="s">
        <v>6</v>
      </c>
      <c r="J4" s="31"/>
      <c r="K4" s="31"/>
      <c r="L4" s="31"/>
      <c r="M4" s="31"/>
      <c r="N4" s="31"/>
      <c r="O4" s="31"/>
      <c r="P4" s="31"/>
      <c r="Q4" s="31"/>
      <c r="R4" s="32"/>
    </row>
    <row r="5" s="20" customFormat="1" ht="36.95" customHeight="1" spans="1:18">
      <c r="A5" s="33" t="s">
        <v>7</v>
      </c>
      <c r="B5" s="34" t="s">
        <v>8</v>
      </c>
      <c r="C5" s="35"/>
      <c r="D5" s="36"/>
      <c r="E5" s="45" t="s">
        <v>9</v>
      </c>
      <c r="F5" s="42"/>
      <c r="G5" s="43"/>
      <c r="H5" s="44"/>
      <c r="I5" s="58"/>
      <c r="J5" s="59"/>
      <c r="K5" s="60" t="s">
        <v>10</v>
      </c>
      <c r="L5" s="61"/>
      <c r="M5" s="61"/>
      <c r="N5" s="61"/>
      <c r="O5" s="61"/>
      <c r="P5" s="61"/>
      <c r="Q5" s="61"/>
      <c r="R5" s="70"/>
    </row>
    <row r="6" s="20" customFormat="1" ht="36" customHeight="1" spans="1:18">
      <c r="A6" s="37" t="s">
        <v>11</v>
      </c>
      <c r="B6" s="38" t="s">
        <v>12</v>
      </c>
      <c r="C6" s="39"/>
      <c r="D6" s="40"/>
      <c r="E6" s="45" t="s">
        <v>13</v>
      </c>
      <c r="F6" s="42"/>
      <c r="G6" s="43"/>
      <c r="H6" s="44"/>
      <c r="I6" s="62"/>
      <c r="J6" s="63"/>
      <c r="K6" s="64" t="s">
        <v>14</v>
      </c>
      <c r="L6" s="65"/>
      <c r="M6" s="65"/>
      <c r="N6" s="65"/>
      <c r="O6" s="65"/>
      <c r="P6" s="65"/>
      <c r="Q6" s="65"/>
      <c r="R6" s="71"/>
    </row>
    <row r="7" s="20" customFormat="1" ht="20.1" customHeight="1" spans="1:18">
      <c r="A7" s="41" t="s">
        <v>15</v>
      </c>
      <c r="B7" s="42" t="str">
        <f>VLOOKUP(B6,欧洲地址库!1:65536,4,FALSE)</f>
        <v>Amazon Fulfillment Center</v>
      </c>
      <c r="C7" s="43"/>
      <c r="D7" s="44"/>
      <c r="E7" s="45" t="s">
        <v>16</v>
      </c>
      <c r="F7" s="42"/>
      <c r="G7" s="43"/>
      <c r="H7" s="43"/>
      <c r="I7" s="62"/>
      <c r="J7" s="63"/>
      <c r="K7" s="64" t="s">
        <v>17</v>
      </c>
      <c r="L7" s="65"/>
      <c r="M7" s="65"/>
      <c r="N7" s="65"/>
      <c r="O7" s="65"/>
      <c r="P7" s="65"/>
      <c r="Q7" s="65"/>
      <c r="R7" s="71"/>
    </row>
    <row r="8" s="20" customFormat="1" ht="20.1" customHeight="1" spans="1:18">
      <c r="A8" s="41" t="s">
        <v>18</v>
      </c>
      <c r="B8" s="42" t="str">
        <f>VLOOKUP(B6,欧洲地址库!1:65536,8,FALSE)</f>
        <v>Unit IP9 Toronto Way</v>
      </c>
      <c r="C8" s="43"/>
      <c r="D8" s="44"/>
      <c r="E8" s="45" t="s">
        <v>19</v>
      </c>
      <c r="F8" s="42"/>
      <c r="G8" s="43"/>
      <c r="H8" s="43"/>
      <c r="I8" s="58"/>
      <c r="J8" s="59"/>
      <c r="K8" s="64" t="s">
        <v>20</v>
      </c>
      <c r="L8" s="65"/>
      <c r="M8" s="65"/>
      <c r="N8" s="65"/>
      <c r="O8" s="65"/>
      <c r="P8" s="65"/>
      <c r="Q8" s="65"/>
      <c r="R8" s="71"/>
    </row>
    <row r="9" s="20" customFormat="1" ht="20.1" customHeight="1" spans="1:18">
      <c r="A9" s="45" t="s">
        <v>21</v>
      </c>
      <c r="B9" s="42" t="str">
        <f>VLOOKUP(B6,欧洲地址库!1:65536,9,FALSE)</f>
        <v> </v>
      </c>
      <c r="C9" s="43"/>
      <c r="D9" s="44"/>
      <c r="E9" s="51" t="s">
        <v>22</v>
      </c>
      <c r="F9" s="52"/>
      <c r="G9" s="53"/>
      <c r="H9" s="53"/>
      <c r="I9" s="62"/>
      <c r="J9" s="63"/>
      <c r="K9" s="64" t="s">
        <v>23</v>
      </c>
      <c r="L9" s="65"/>
      <c r="M9" s="65"/>
      <c r="N9" s="65"/>
      <c r="O9" s="65"/>
      <c r="P9" s="65"/>
      <c r="Q9" s="65"/>
      <c r="R9" s="71"/>
    </row>
    <row r="10" s="20" customFormat="1" ht="20.1" customHeight="1" spans="1:18">
      <c r="A10" s="41" t="s">
        <v>24</v>
      </c>
      <c r="B10" s="42" t="str">
        <f>VLOOKUP(B6,欧洲地址库!1:65536,11,FALSE)</f>
        <v>New Rossington</v>
      </c>
      <c r="C10" s="43"/>
      <c r="D10" s="43"/>
      <c r="E10" s="54" t="s">
        <v>25</v>
      </c>
      <c r="F10" s="42"/>
      <c r="G10" s="43"/>
      <c r="H10" s="55"/>
      <c r="I10" s="58"/>
      <c r="J10" s="59"/>
      <c r="K10" s="64" t="s">
        <v>26</v>
      </c>
      <c r="L10" s="65"/>
      <c r="M10" s="65"/>
      <c r="N10" s="65"/>
      <c r="O10" s="65"/>
      <c r="P10" s="65"/>
      <c r="Q10" s="65"/>
      <c r="R10" s="71"/>
    </row>
    <row r="11" s="20" customFormat="1" ht="20.1" customHeight="1" spans="1:18">
      <c r="A11" s="45" t="s">
        <v>27</v>
      </c>
      <c r="B11" s="42" t="str">
        <f>VLOOKUP(B6,欧洲地址库!1:65536,12,FALSE)</f>
        <v>DONCASTER</v>
      </c>
      <c r="C11" s="43"/>
      <c r="D11" s="43"/>
      <c r="E11" s="45" t="s">
        <v>28</v>
      </c>
      <c r="F11" s="42"/>
      <c r="G11" s="43"/>
      <c r="H11" s="43"/>
      <c r="I11" s="62"/>
      <c r="J11" s="63"/>
      <c r="K11" s="64" t="s">
        <v>29</v>
      </c>
      <c r="L11" s="65"/>
      <c r="M11" s="65"/>
      <c r="N11" s="65"/>
      <c r="O11" s="65"/>
      <c r="P11" s="65"/>
      <c r="Q11" s="65"/>
      <c r="R11" s="71"/>
    </row>
    <row r="12" s="20" customFormat="1" ht="20.1" customHeight="1" spans="1:18">
      <c r="A12" s="41" t="s">
        <v>30</v>
      </c>
      <c r="B12" s="42" t="str">
        <f>VLOOKUP(B6,欧洲地址库!1:65536,14,FALSE)</f>
        <v>DN11 0GU</v>
      </c>
      <c r="C12" s="43"/>
      <c r="D12" s="43"/>
      <c r="E12" s="45"/>
      <c r="F12" s="42"/>
      <c r="G12" s="43"/>
      <c r="H12" s="43"/>
      <c r="I12" s="58"/>
      <c r="J12" s="59"/>
      <c r="K12" s="64" t="s">
        <v>31</v>
      </c>
      <c r="L12" s="65"/>
      <c r="M12" s="65"/>
      <c r="N12" s="65"/>
      <c r="O12" s="65"/>
      <c r="P12" s="65"/>
      <c r="Q12" s="65"/>
      <c r="R12" s="71"/>
    </row>
    <row r="13" s="20" customFormat="1" ht="20.1" customHeight="1" spans="1:18">
      <c r="A13" s="41" t="s">
        <v>32</v>
      </c>
      <c r="B13" s="46" t="str">
        <f>VLOOKUP(B6,欧洲地址库!1:65536,13,FALSE)</f>
        <v>GB</v>
      </c>
      <c r="C13" s="47"/>
      <c r="D13" s="47"/>
      <c r="E13" s="45"/>
      <c r="F13" s="42"/>
      <c r="G13" s="43"/>
      <c r="H13" s="43"/>
      <c r="I13" s="62"/>
      <c r="J13" s="63"/>
      <c r="K13" s="64" t="s">
        <v>33</v>
      </c>
      <c r="L13" s="65"/>
      <c r="M13" s="65"/>
      <c r="N13" s="65"/>
      <c r="O13" s="65"/>
      <c r="P13" s="65"/>
      <c r="Q13" s="65"/>
      <c r="R13" s="71"/>
    </row>
    <row r="14" s="20" customFormat="1" ht="20.1" customHeight="1" spans="1:18">
      <c r="A14" s="41" t="s">
        <v>34</v>
      </c>
      <c r="B14" s="48">
        <v>1</v>
      </c>
      <c r="C14" s="49"/>
      <c r="D14" s="49"/>
      <c r="E14" s="45"/>
      <c r="F14" s="42"/>
      <c r="G14" s="43"/>
      <c r="H14" s="43"/>
      <c r="I14" s="58"/>
      <c r="J14" s="59"/>
      <c r="K14" s="64" t="s">
        <v>35</v>
      </c>
      <c r="L14" s="65"/>
      <c r="M14" s="65"/>
      <c r="N14" s="65"/>
      <c r="O14" s="65"/>
      <c r="P14" s="65"/>
      <c r="Q14" s="65"/>
      <c r="R14" s="71"/>
    </row>
    <row r="15" s="21" customFormat="1" ht="42" customHeight="1" spans="1:18">
      <c r="A15" s="50" t="s">
        <v>36</v>
      </c>
      <c r="B15" s="50" t="s">
        <v>37</v>
      </c>
      <c r="C15" s="50" t="s">
        <v>38</v>
      </c>
      <c r="D15" s="50" t="s">
        <v>39</v>
      </c>
      <c r="E15" s="56" t="s">
        <v>40</v>
      </c>
      <c r="F15" s="56" t="s">
        <v>41</v>
      </c>
      <c r="G15" s="56" t="s">
        <v>42</v>
      </c>
      <c r="H15" s="57" t="s">
        <v>43</v>
      </c>
      <c r="I15" s="50" t="s">
        <v>44</v>
      </c>
      <c r="J15" s="50" t="s">
        <v>45</v>
      </c>
      <c r="K15" s="50" t="s">
        <v>46</v>
      </c>
      <c r="L15" s="56" t="s">
        <v>47</v>
      </c>
      <c r="M15" s="56" t="s">
        <v>48</v>
      </c>
      <c r="N15" s="67" t="s">
        <v>49</v>
      </c>
      <c r="O15" s="67" t="s">
        <v>50</v>
      </c>
      <c r="P15" s="67" t="s">
        <v>51</v>
      </c>
      <c r="Q15" s="67" t="s">
        <v>52</v>
      </c>
      <c r="R15" s="67" t="s">
        <v>53</v>
      </c>
    </row>
    <row r="16" ht="87.95" customHeight="1" spans="1:18">
      <c r="A16" s="45"/>
      <c r="B16" s="45"/>
      <c r="C16" s="45"/>
      <c r="D16" s="45"/>
      <c r="E16" s="45"/>
      <c r="F16" s="45"/>
      <c r="G16" s="45"/>
      <c r="H16" s="45"/>
      <c r="I16" s="66"/>
      <c r="J16" s="66"/>
      <c r="K16"/>
      <c r="L16" s="66"/>
      <c r="M16" s="68"/>
      <c r="N16" s="66"/>
      <c r="O16" s="66"/>
      <c r="P16" s="66"/>
      <c r="Q16" s="66"/>
      <c r="R16" s="66"/>
    </row>
    <row r="17" ht="87.95" customHeight="1" spans="1:18">
      <c r="A17" s="45"/>
      <c r="B17" s="45"/>
      <c r="C17" s="45"/>
      <c r="D17" s="45"/>
      <c r="E17" s="45"/>
      <c r="F17" s="45"/>
      <c r="G17" s="45"/>
      <c r="H17" s="45"/>
      <c r="I17" s="45"/>
      <c r="J17" s="45"/>
      <c r="K17"/>
      <c r="L17" s="45"/>
      <c r="M17" s="69"/>
      <c r="N17" s="45"/>
      <c r="O17" s="45"/>
      <c r="P17" s="45"/>
      <c r="Q17" s="45"/>
      <c r="R17" s="45"/>
    </row>
  </sheetData>
  <mergeCells count="27">
    <mergeCell ref="A3:R3"/>
    <mergeCell ref="B4:D4"/>
    <mergeCell ref="F4:H4"/>
    <mergeCell ref="I4:R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A1:R2"/>
    <mergeCell ref="I5:J14"/>
    <mergeCell ref="L5:R14"/>
  </mergeCells>
  <dataValidations count="3">
    <dataValidation type="list" allowBlank="1" showInputMessage="1" showErrorMessage="1" sqref="F4:H4">
      <formula1>"买单报关,报关退税"</formula1>
    </dataValidation>
    <dataValidation type="list" allowBlank="1" showInputMessage="1" showErrorMessage="1" sqref="B5:D5">
      <formula1>"英国卡航-自税递延,英国卡航-包税,英国卡航-自税不递延,欧盟卡航-包税,欧盟卡航-自税递延"</formula1>
    </dataValidation>
    <dataValidation type="list" allowBlank="1" showInputMessage="1" showErrorMessage="1" sqref="B6:D6">
      <formula1>下拉列表1</formula1>
    </dataValidation>
  </dataValidations>
  <hyperlinks>
    <hyperlink ref="K8:Q8" r:id="rId3" display="英国税号查询"/>
    <hyperlink ref="K9:Q9" r:id="rId4" display="英国海关编码查询"/>
    <hyperlink ref="K10:Q10" r:id="rId5" display="英国免征增值税商品集合"/>
    <hyperlink ref="K11:Q11" r:id="rId6" display="欧盟增值税号查询"/>
    <hyperlink ref="K13:Q13" r:id="rId7" display="欧盟海关编码查询"/>
    <hyperlink ref="K14:Q14" r:id="rId8" display="比利时逆运算计算器"/>
    <hyperlink ref="K7:Q7" r:id="rId9" display="车辆GPS实时位置查询"/>
    <hyperlink ref="K6" r:id="rId10" display="YDT服务系统客户端"/>
    <hyperlink ref="K12:Q12" r:id="rId11" display="欧盟认证号查询"/>
  </hyperlinks>
  <pageMargins left="0.75" right="0.75" top="1" bottom="1" header="0.3" footer="0.3"/>
  <pageSetup paperSize="257" scale="32" fitToHeight="0" orientation="portrait" horizontalDpi="203" verticalDpi="203"/>
  <headerFooter/>
  <ignoredErrors>
    <ignoredError sqref="B13 B7:D7 C8:D8 B9:D12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"/>
  <sheetViews>
    <sheetView zoomScale="85" zoomScaleNormal="85" workbookViewId="0">
      <pane ySplit="1" topLeftCell="A65" activePane="bottomLeft" state="frozen"/>
      <selection/>
      <selection pane="bottomLeft" activeCell="K123" sqref="K123"/>
    </sheetView>
  </sheetViews>
  <sheetFormatPr defaultColWidth="11" defaultRowHeight="13.6"/>
  <cols>
    <col min="1" max="4" width="17.625" style="3" customWidth="1"/>
    <col min="5" max="5" width="36.25" style="3" customWidth="1"/>
    <col min="6" max="6" width="9.75" style="4" customWidth="1"/>
    <col min="7" max="7" width="10.25" style="4" customWidth="1"/>
    <col min="8" max="8" width="41.5" style="4" customWidth="1"/>
    <col min="9" max="9" width="8.625" style="4" customWidth="1"/>
    <col min="10" max="10" width="8.25" style="4" customWidth="1"/>
    <col min="11" max="11" width="17.625" style="3" customWidth="1"/>
    <col min="12" max="12" width="14.625" style="3" customWidth="1"/>
    <col min="13" max="13" width="17.625" style="3" customWidth="1"/>
    <col min="14" max="14" width="17.625" style="4" customWidth="1"/>
    <col min="15" max="27" width="11" style="3" customWidth="1"/>
    <col min="28" max="28" width="12.25" style="3" customWidth="1"/>
    <col min="29" max="16384" width="11" style="3"/>
  </cols>
  <sheetData>
    <row r="1" s="1" customFormat="1" ht="14" spans="1:14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7" t="s">
        <v>59</v>
      </c>
      <c r="G1" s="7" t="s">
        <v>60</v>
      </c>
      <c r="H1" s="8" t="s">
        <v>61</v>
      </c>
      <c r="I1" s="7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7" t="s">
        <v>67</v>
      </c>
    </row>
    <row r="2" s="2" customFormat="1" ht="16.8" spans="1:14">
      <c r="A2" s="5" t="s">
        <v>12</v>
      </c>
      <c r="B2" s="5" t="s">
        <v>12</v>
      </c>
      <c r="C2" s="5" t="s">
        <v>12</v>
      </c>
      <c r="D2" s="5" t="s">
        <v>68</v>
      </c>
      <c r="E2" s="5"/>
      <c r="F2" s="5"/>
      <c r="G2" s="5"/>
      <c r="H2" s="9" t="s">
        <v>69</v>
      </c>
      <c r="I2" s="6" t="s">
        <v>70</v>
      </c>
      <c r="J2" s="5"/>
      <c r="K2" s="14" t="s">
        <v>71</v>
      </c>
      <c r="L2" s="14" t="s">
        <v>72</v>
      </c>
      <c r="M2" s="5" t="s">
        <v>73</v>
      </c>
      <c r="N2" s="16" t="s">
        <v>74</v>
      </c>
    </row>
    <row r="3" s="2" customFormat="1" ht="16.8" spans="1:14">
      <c r="A3" s="5" t="s">
        <v>75</v>
      </c>
      <c r="B3" s="5" t="s">
        <v>75</v>
      </c>
      <c r="C3" s="5" t="s">
        <v>75</v>
      </c>
      <c r="D3" s="5" t="s">
        <v>68</v>
      </c>
      <c r="E3" s="5"/>
      <c r="F3" s="5"/>
      <c r="G3" s="5"/>
      <c r="H3" s="9" t="s">
        <v>76</v>
      </c>
      <c r="I3" s="6" t="s">
        <v>70</v>
      </c>
      <c r="J3" s="5"/>
      <c r="K3" s="14" t="s">
        <v>77</v>
      </c>
      <c r="L3" s="14" t="s">
        <v>72</v>
      </c>
      <c r="M3" s="5" t="s">
        <v>73</v>
      </c>
      <c r="N3" s="16" t="s">
        <v>78</v>
      </c>
    </row>
    <row r="4" s="2" customFormat="1" ht="16.8" spans="1:14">
      <c r="A4" s="5" t="s">
        <v>79</v>
      </c>
      <c r="B4" s="5" t="s">
        <v>79</v>
      </c>
      <c r="C4" s="5" t="s">
        <v>79</v>
      </c>
      <c r="D4" s="5" t="s">
        <v>80</v>
      </c>
      <c r="E4" s="5"/>
      <c r="F4" s="5"/>
      <c r="G4" s="5"/>
      <c r="H4" s="9" t="s">
        <v>81</v>
      </c>
      <c r="I4" s="6" t="s">
        <v>70</v>
      </c>
      <c r="J4" s="5"/>
      <c r="K4" s="14" t="s">
        <v>82</v>
      </c>
      <c r="L4" s="14" t="s">
        <v>70</v>
      </c>
      <c r="M4" s="5" t="s">
        <v>73</v>
      </c>
      <c r="N4" s="16" t="s">
        <v>83</v>
      </c>
    </row>
    <row r="5" s="2" customFormat="1" ht="16.8" spans="1:14">
      <c r="A5" s="5" t="s">
        <v>84</v>
      </c>
      <c r="B5" s="5" t="s">
        <v>84</v>
      </c>
      <c r="C5" s="5" t="s">
        <v>84</v>
      </c>
      <c r="D5" s="5" t="s">
        <v>68</v>
      </c>
      <c r="E5" s="5"/>
      <c r="F5" s="5"/>
      <c r="G5" s="5"/>
      <c r="H5" s="9" t="s">
        <v>85</v>
      </c>
      <c r="I5" s="6" t="s">
        <v>70</v>
      </c>
      <c r="J5" s="5"/>
      <c r="K5" s="14" t="s">
        <v>86</v>
      </c>
      <c r="L5" s="14" t="s">
        <v>87</v>
      </c>
      <c r="M5" s="5" t="s">
        <v>73</v>
      </c>
      <c r="N5" s="16" t="s">
        <v>88</v>
      </c>
    </row>
    <row r="6" s="2" customFormat="1" ht="16.8" spans="1:14">
      <c r="A6" s="5" t="s">
        <v>89</v>
      </c>
      <c r="B6" s="5" t="s">
        <v>89</v>
      </c>
      <c r="C6" s="5" t="s">
        <v>89</v>
      </c>
      <c r="D6" s="5" t="s">
        <v>68</v>
      </c>
      <c r="E6" s="5"/>
      <c r="F6" s="5"/>
      <c r="G6" s="5"/>
      <c r="H6" s="9" t="s">
        <v>90</v>
      </c>
      <c r="I6" s="6" t="s">
        <v>70</v>
      </c>
      <c r="J6" s="5"/>
      <c r="K6" s="14" t="s">
        <v>91</v>
      </c>
      <c r="L6" s="6" t="s">
        <v>70</v>
      </c>
      <c r="M6" s="5" t="s">
        <v>73</v>
      </c>
      <c r="N6" s="16" t="s">
        <v>92</v>
      </c>
    </row>
    <row r="7" s="2" customFormat="1" ht="16.8" spans="1:14">
      <c r="A7" s="5" t="s">
        <v>93</v>
      </c>
      <c r="B7" s="5" t="s">
        <v>93</v>
      </c>
      <c r="C7" s="5" t="s">
        <v>93</v>
      </c>
      <c r="D7" s="5" t="s">
        <v>68</v>
      </c>
      <c r="E7" s="5"/>
      <c r="F7" s="5"/>
      <c r="G7" s="5"/>
      <c r="H7" s="9" t="s">
        <v>90</v>
      </c>
      <c r="I7" s="6" t="s">
        <v>70</v>
      </c>
      <c r="J7" s="5"/>
      <c r="K7" s="14" t="s">
        <v>91</v>
      </c>
      <c r="L7" s="6" t="s">
        <v>70</v>
      </c>
      <c r="M7" s="5" t="s">
        <v>73</v>
      </c>
      <c r="N7" s="16" t="s">
        <v>92</v>
      </c>
    </row>
    <row r="8" s="2" customFormat="1" ht="16.8" spans="1:14">
      <c r="A8" s="5" t="s">
        <v>94</v>
      </c>
      <c r="B8" s="5" t="s">
        <v>94</v>
      </c>
      <c r="C8" s="5" t="s">
        <v>94</v>
      </c>
      <c r="D8" s="5" t="s">
        <v>68</v>
      </c>
      <c r="E8" s="5"/>
      <c r="F8" s="5"/>
      <c r="G8" s="5"/>
      <c r="H8" s="9" t="s">
        <v>95</v>
      </c>
      <c r="I8" s="14" t="s">
        <v>96</v>
      </c>
      <c r="J8" s="15"/>
      <c r="K8" s="14" t="s">
        <v>97</v>
      </c>
      <c r="L8" s="6" t="s">
        <v>70</v>
      </c>
      <c r="M8" s="5" t="s">
        <v>73</v>
      </c>
      <c r="N8" s="16" t="s">
        <v>98</v>
      </c>
    </row>
    <row r="9" s="2" customFormat="1" ht="16.8" spans="1:14">
      <c r="A9" s="5" t="s">
        <v>99</v>
      </c>
      <c r="B9" s="5" t="s">
        <v>99</v>
      </c>
      <c r="C9" s="5" t="s">
        <v>99</v>
      </c>
      <c r="D9" s="5" t="s">
        <v>68</v>
      </c>
      <c r="E9" s="5"/>
      <c r="F9" s="5"/>
      <c r="G9" s="5"/>
      <c r="H9" s="9" t="s">
        <v>100</v>
      </c>
      <c r="I9" s="6" t="s">
        <v>70</v>
      </c>
      <c r="J9" s="5"/>
      <c r="K9" s="14" t="s">
        <v>72</v>
      </c>
      <c r="L9" s="14" t="s">
        <v>101</v>
      </c>
      <c r="M9" s="5" t="s">
        <v>73</v>
      </c>
      <c r="N9" s="16" t="s">
        <v>102</v>
      </c>
    </row>
    <row r="10" s="2" customFormat="1" ht="16.8" spans="1:14">
      <c r="A10" s="5" t="s">
        <v>103</v>
      </c>
      <c r="B10" s="5" t="s">
        <v>103</v>
      </c>
      <c r="C10" s="5" t="s">
        <v>103</v>
      </c>
      <c r="D10" s="5" t="s">
        <v>68</v>
      </c>
      <c r="E10" s="5"/>
      <c r="F10" s="5"/>
      <c r="G10" s="5"/>
      <c r="H10" s="9" t="s">
        <v>104</v>
      </c>
      <c r="I10" s="6" t="s">
        <v>70</v>
      </c>
      <c r="J10" s="5"/>
      <c r="K10" s="14" t="s">
        <v>105</v>
      </c>
      <c r="L10" s="14" t="s">
        <v>106</v>
      </c>
      <c r="M10" s="5" t="s">
        <v>73</v>
      </c>
      <c r="N10" s="16" t="s">
        <v>107</v>
      </c>
    </row>
    <row r="11" s="2" customFormat="1" ht="17" spans="1:14">
      <c r="A11" s="5" t="s">
        <v>108</v>
      </c>
      <c r="B11" s="5" t="s">
        <v>108</v>
      </c>
      <c r="C11" s="5" t="s">
        <v>108</v>
      </c>
      <c r="D11" s="5" t="s">
        <v>68</v>
      </c>
      <c r="E11" s="5"/>
      <c r="F11" s="5"/>
      <c r="G11" s="5"/>
      <c r="H11" s="10" t="s">
        <v>109</v>
      </c>
      <c r="I11" s="6" t="s">
        <v>70</v>
      </c>
      <c r="J11" s="5"/>
      <c r="K11" s="16" t="s">
        <v>110</v>
      </c>
      <c r="L11" s="16" t="s">
        <v>111</v>
      </c>
      <c r="M11" s="5" t="s">
        <v>73</v>
      </c>
      <c r="N11" s="16" t="s">
        <v>112</v>
      </c>
    </row>
    <row r="12" s="2" customFormat="1" ht="17" spans="1:14">
      <c r="A12" s="5" t="s">
        <v>113</v>
      </c>
      <c r="B12" s="5" t="s">
        <v>113</v>
      </c>
      <c r="C12" s="5" t="s">
        <v>113</v>
      </c>
      <c r="D12" s="5" t="s">
        <v>68</v>
      </c>
      <c r="E12" s="5"/>
      <c r="F12" s="5"/>
      <c r="G12" s="5"/>
      <c r="H12" s="11" t="s">
        <v>114</v>
      </c>
      <c r="I12" s="6" t="s">
        <v>70</v>
      </c>
      <c r="J12" s="5"/>
      <c r="K12" s="10" t="s">
        <v>115</v>
      </c>
      <c r="L12" s="16" t="s">
        <v>116</v>
      </c>
      <c r="M12" s="5" t="s">
        <v>73</v>
      </c>
      <c r="N12" s="16" t="s">
        <v>117</v>
      </c>
    </row>
    <row r="13" s="2" customFormat="1" ht="17" spans="1:14">
      <c r="A13" s="5" t="s">
        <v>118</v>
      </c>
      <c r="B13" s="5" t="s">
        <v>118</v>
      </c>
      <c r="C13" s="5" t="s">
        <v>118</v>
      </c>
      <c r="D13" s="5" t="s">
        <v>68</v>
      </c>
      <c r="E13" s="5"/>
      <c r="F13" s="5"/>
      <c r="G13" s="5"/>
      <c r="H13" s="11" t="s">
        <v>119</v>
      </c>
      <c r="I13" s="6" t="s">
        <v>70</v>
      </c>
      <c r="J13" s="5"/>
      <c r="K13" s="10" t="s">
        <v>120</v>
      </c>
      <c r="L13" s="16" t="s">
        <v>121</v>
      </c>
      <c r="M13" s="5" t="s">
        <v>73</v>
      </c>
      <c r="N13" s="16" t="s">
        <v>122</v>
      </c>
    </row>
    <row r="14" s="2" customFormat="1" ht="17" spans="1:14">
      <c r="A14" s="5" t="s">
        <v>123</v>
      </c>
      <c r="B14" s="5" t="s">
        <v>123</v>
      </c>
      <c r="C14" s="5" t="s">
        <v>123</v>
      </c>
      <c r="D14" s="5" t="s">
        <v>68</v>
      </c>
      <c r="E14" s="5"/>
      <c r="F14" s="5"/>
      <c r="G14" s="5"/>
      <c r="H14" s="10" t="s">
        <v>124</v>
      </c>
      <c r="I14" s="6" t="s">
        <v>70</v>
      </c>
      <c r="J14" s="5"/>
      <c r="K14" s="16" t="s">
        <v>125</v>
      </c>
      <c r="L14" s="16" t="s">
        <v>126</v>
      </c>
      <c r="M14" s="5" t="s">
        <v>73</v>
      </c>
      <c r="N14" s="16" t="s">
        <v>127</v>
      </c>
    </row>
    <row r="15" s="2" customFormat="1" ht="16.8" spans="1:14">
      <c r="A15" s="5" t="s">
        <v>128</v>
      </c>
      <c r="B15" s="5" t="s">
        <v>128</v>
      </c>
      <c r="C15" s="5" t="s">
        <v>128</v>
      </c>
      <c r="D15" s="5" t="s">
        <v>68</v>
      </c>
      <c r="E15" s="5"/>
      <c r="F15" s="5"/>
      <c r="G15" s="5"/>
      <c r="H15" s="9" t="s">
        <v>129</v>
      </c>
      <c r="I15" s="6" t="s">
        <v>70</v>
      </c>
      <c r="J15" s="5"/>
      <c r="K15" s="14" t="s">
        <v>130</v>
      </c>
      <c r="L15" s="14" t="s">
        <v>131</v>
      </c>
      <c r="M15" s="5" t="s">
        <v>73</v>
      </c>
      <c r="N15" s="16" t="s">
        <v>132</v>
      </c>
    </row>
    <row r="16" s="2" customFormat="1" ht="16.8" spans="1:14">
      <c r="A16" s="5" t="s">
        <v>133</v>
      </c>
      <c r="B16" s="5" t="s">
        <v>133</v>
      </c>
      <c r="C16" s="5" t="s">
        <v>133</v>
      </c>
      <c r="D16" s="5" t="s">
        <v>68</v>
      </c>
      <c r="E16" s="5"/>
      <c r="F16" s="5"/>
      <c r="G16" s="5"/>
      <c r="H16" s="9" t="s">
        <v>134</v>
      </c>
      <c r="I16" s="6" t="s">
        <v>70</v>
      </c>
      <c r="J16" s="5"/>
      <c r="K16" s="14" t="s">
        <v>135</v>
      </c>
      <c r="L16" s="14" t="s">
        <v>136</v>
      </c>
      <c r="M16" s="5" t="s">
        <v>73</v>
      </c>
      <c r="N16" s="16" t="s">
        <v>137</v>
      </c>
    </row>
    <row r="17" s="2" customFormat="1" ht="16.8" spans="1:14">
      <c r="A17" s="5" t="s">
        <v>138</v>
      </c>
      <c r="B17" s="5" t="s">
        <v>138</v>
      </c>
      <c r="C17" s="5" t="s">
        <v>138</v>
      </c>
      <c r="D17" s="5" t="s">
        <v>68</v>
      </c>
      <c r="E17" s="5"/>
      <c r="F17" s="5"/>
      <c r="G17" s="5"/>
      <c r="H17" s="9" t="s">
        <v>139</v>
      </c>
      <c r="I17" s="14" t="s">
        <v>140</v>
      </c>
      <c r="J17" s="15"/>
      <c r="K17" s="14" t="s">
        <v>141</v>
      </c>
      <c r="L17" s="14" t="s">
        <v>142</v>
      </c>
      <c r="M17" s="5" t="s">
        <v>73</v>
      </c>
      <c r="N17" s="16" t="s">
        <v>143</v>
      </c>
    </row>
    <row r="18" s="2" customFormat="1" ht="16.8" spans="1:14">
      <c r="A18" s="5" t="s">
        <v>144</v>
      </c>
      <c r="B18" s="5" t="s">
        <v>144</v>
      </c>
      <c r="C18" s="5" t="s">
        <v>144</v>
      </c>
      <c r="D18" s="5" t="s">
        <v>68</v>
      </c>
      <c r="E18" s="5"/>
      <c r="F18" s="5"/>
      <c r="G18" s="5"/>
      <c r="H18" s="9" t="s">
        <v>145</v>
      </c>
      <c r="I18" s="6" t="s">
        <v>70</v>
      </c>
      <c r="J18" s="5"/>
      <c r="K18" s="14" t="s">
        <v>146</v>
      </c>
      <c r="L18" s="6" t="s">
        <v>70</v>
      </c>
      <c r="M18" s="5" t="s">
        <v>73</v>
      </c>
      <c r="N18" s="16" t="s">
        <v>147</v>
      </c>
    </row>
    <row r="19" s="2" customFormat="1" ht="28" spans="1:14">
      <c r="A19" s="5" t="s">
        <v>148</v>
      </c>
      <c r="B19" s="5" t="s">
        <v>148</v>
      </c>
      <c r="C19" s="5" t="s">
        <v>148</v>
      </c>
      <c r="D19" s="5" t="s">
        <v>68</v>
      </c>
      <c r="E19" s="5"/>
      <c r="F19" s="5"/>
      <c r="G19" s="5"/>
      <c r="H19" s="12" t="s">
        <v>149</v>
      </c>
      <c r="I19" s="6" t="s">
        <v>70</v>
      </c>
      <c r="J19" s="5"/>
      <c r="K19" s="5" t="s">
        <v>150</v>
      </c>
      <c r="L19" s="5" t="s">
        <v>87</v>
      </c>
      <c r="M19" s="5" t="s">
        <v>73</v>
      </c>
      <c r="N19" s="15" t="s">
        <v>151</v>
      </c>
    </row>
    <row r="20" s="2" customFormat="1" ht="14" spans="1:14">
      <c r="A20" s="5" t="s">
        <v>152</v>
      </c>
      <c r="B20" s="5" t="s">
        <v>152</v>
      </c>
      <c r="C20" s="5" t="s">
        <v>152</v>
      </c>
      <c r="D20" s="5" t="s">
        <v>153</v>
      </c>
      <c r="E20" s="5"/>
      <c r="F20" s="5"/>
      <c r="G20" s="5"/>
      <c r="H20" s="12" t="s">
        <v>154</v>
      </c>
      <c r="I20" s="6" t="s">
        <v>70</v>
      </c>
      <c r="J20" s="5"/>
      <c r="K20" s="5" t="s">
        <v>155</v>
      </c>
      <c r="L20" s="5" t="s">
        <v>156</v>
      </c>
      <c r="M20" s="5" t="s">
        <v>73</v>
      </c>
      <c r="N20" s="15" t="s">
        <v>157</v>
      </c>
    </row>
    <row r="21" s="2" customFormat="1" spans="1:14">
      <c r="A21" s="6" t="s">
        <v>158</v>
      </c>
      <c r="B21" s="6" t="s">
        <v>158</v>
      </c>
      <c r="C21" s="6" t="s">
        <v>158</v>
      </c>
      <c r="D21" s="6" t="s">
        <v>159</v>
      </c>
      <c r="E21" s="6" t="s">
        <v>159</v>
      </c>
      <c r="F21" s="6"/>
      <c r="G21" s="6"/>
      <c r="H21" s="13" t="s">
        <v>160</v>
      </c>
      <c r="I21" s="6" t="s">
        <v>70</v>
      </c>
      <c r="J21" s="6"/>
      <c r="K21" s="6" t="s">
        <v>161</v>
      </c>
      <c r="L21" s="6" t="s">
        <v>70</v>
      </c>
      <c r="M21" s="6" t="s">
        <v>162</v>
      </c>
      <c r="N21" s="13">
        <v>25261</v>
      </c>
    </row>
    <row r="22" s="2" customFormat="1" spans="1:14">
      <c r="A22" s="6" t="s">
        <v>163</v>
      </c>
      <c r="B22" s="6" t="s">
        <v>163</v>
      </c>
      <c r="C22" s="6" t="s">
        <v>163</v>
      </c>
      <c r="D22" s="6" t="s">
        <v>164</v>
      </c>
      <c r="E22" s="6" t="s">
        <v>164</v>
      </c>
      <c r="F22" s="6"/>
      <c r="G22" s="6"/>
      <c r="H22" s="13" t="s">
        <v>165</v>
      </c>
      <c r="I22" s="6" t="s">
        <v>70</v>
      </c>
      <c r="J22" s="6"/>
      <c r="K22" s="6" t="s">
        <v>161</v>
      </c>
      <c r="L22" s="6" t="s">
        <v>70</v>
      </c>
      <c r="M22" s="6" t="s">
        <v>162</v>
      </c>
      <c r="N22" s="13">
        <v>25261</v>
      </c>
    </row>
    <row r="23" s="2" customFormat="1" spans="1:14">
      <c r="A23" s="6" t="s">
        <v>166</v>
      </c>
      <c r="B23" s="6" t="s">
        <v>166</v>
      </c>
      <c r="C23" s="6" t="s">
        <v>166</v>
      </c>
      <c r="D23" s="6" t="s">
        <v>167</v>
      </c>
      <c r="E23" s="6" t="s">
        <v>167</v>
      </c>
      <c r="F23" s="6"/>
      <c r="G23" s="6"/>
      <c r="H23" s="13" t="s">
        <v>168</v>
      </c>
      <c r="I23" s="6" t="s">
        <v>70</v>
      </c>
      <c r="J23" s="6"/>
      <c r="K23" s="6" t="s">
        <v>169</v>
      </c>
      <c r="L23" s="6" t="s">
        <v>70</v>
      </c>
      <c r="M23" s="6" t="s">
        <v>170</v>
      </c>
      <c r="N23" s="13">
        <v>26132</v>
      </c>
    </row>
    <row r="24" s="2" customFormat="1" spans="1:14">
      <c r="A24" s="6" t="s">
        <v>171</v>
      </c>
      <c r="B24" s="6" t="s">
        <v>171</v>
      </c>
      <c r="C24" s="6" t="s">
        <v>171</v>
      </c>
      <c r="D24" s="6" t="s">
        <v>172</v>
      </c>
      <c r="E24" s="6" t="s">
        <v>173</v>
      </c>
      <c r="F24" s="6"/>
      <c r="G24" s="6"/>
      <c r="H24" s="13" t="s">
        <v>174</v>
      </c>
      <c r="I24" s="6" t="s">
        <v>70</v>
      </c>
      <c r="J24" s="6"/>
      <c r="K24" s="6" t="s">
        <v>175</v>
      </c>
      <c r="L24" s="6" t="s">
        <v>70</v>
      </c>
      <c r="M24" s="6" t="s">
        <v>170</v>
      </c>
      <c r="N24" s="13">
        <v>33610</v>
      </c>
    </row>
    <row r="25" s="2" customFormat="1" spans="1:14">
      <c r="A25" s="6" t="s">
        <v>176</v>
      </c>
      <c r="B25" s="6" t="s">
        <v>176</v>
      </c>
      <c r="C25" s="6" t="s">
        <v>176</v>
      </c>
      <c r="D25" s="6" t="s">
        <v>177</v>
      </c>
      <c r="E25" s="6" t="s">
        <v>178</v>
      </c>
      <c r="F25" s="6"/>
      <c r="G25" s="6"/>
      <c r="H25" s="13" t="s">
        <v>179</v>
      </c>
      <c r="I25" s="6" t="s">
        <v>70</v>
      </c>
      <c r="J25" s="6"/>
      <c r="K25" s="6" t="s">
        <v>180</v>
      </c>
      <c r="L25" s="6" t="s">
        <v>70</v>
      </c>
      <c r="M25" s="6" t="s">
        <v>170</v>
      </c>
      <c r="N25" s="13">
        <v>45410</v>
      </c>
    </row>
    <row r="26" s="2" customFormat="1" spans="1:14">
      <c r="A26" s="6" t="s">
        <v>181</v>
      </c>
      <c r="B26" s="6" t="s">
        <v>181</v>
      </c>
      <c r="C26" s="6" t="s">
        <v>181</v>
      </c>
      <c r="D26" s="6" t="s">
        <v>182</v>
      </c>
      <c r="E26" s="6" t="s">
        <v>182</v>
      </c>
      <c r="F26" s="6"/>
      <c r="G26" s="6"/>
      <c r="H26" s="13" t="s">
        <v>183</v>
      </c>
      <c r="I26" s="6" t="s">
        <v>70</v>
      </c>
      <c r="J26" s="6"/>
      <c r="K26" s="6" t="s">
        <v>184</v>
      </c>
      <c r="L26" s="6" t="s">
        <v>70</v>
      </c>
      <c r="M26" s="6" t="s">
        <v>170</v>
      </c>
      <c r="N26" s="13">
        <v>45772</v>
      </c>
    </row>
    <row r="27" s="2" customFormat="1" spans="1:14">
      <c r="A27" s="6" t="s">
        <v>185</v>
      </c>
      <c r="B27" s="6" t="s">
        <v>185</v>
      </c>
      <c r="C27" s="6" t="s">
        <v>185</v>
      </c>
      <c r="D27" s="6" t="s">
        <v>186</v>
      </c>
      <c r="E27" s="6" t="s">
        <v>187</v>
      </c>
      <c r="F27" s="6"/>
      <c r="G27" s="6"/>
      <c r="H27" s="13" t="s">
        <v>188</v>
      </c>
      <c r="I27" s="6" t="s">
        <v>70</v>
      </c>
      <c r="J27" s="6"/>
      <c r="K27" s="6" t="s">
        <v>189</v>
      </c>
      <c r="L27" s="6" t="s">
        <v>70</v>
      </c>
      <c r="M27" s="6" t="s">
        <v>170</v>
      </c>
      <c r="N27" s="13">
        <v>51320</v>
      </c>
    </row>
    <row r="28" s="2" customFormat="1" spans="1:14">
      <c r="A28" s="6" t="s">
        <v>190</v>
      </c>
      <c r="B28" s="6" t="s">
        <v>190</v>
      </c>
      <c r="C28" s="6" t="s">
        <v>190</v>
      </c>
      <c r="D28" s="6" t="s">
        <v>191</v>
      </c>
      <c r="E28" s="6" t="s">
        <v>191</v>
      </c>
      <c r="F28" s="6"/>
      <c r="G28" s="6"/>
      <c r="H28" s="13" t="s">
        <v>192</v>
      </c>
      <c r="I28" s="6" t="s">
        <v>70</v>
      </c>
      <c r="J28" s="6"/>
      <c r="K28" s="6" t="s">
        <v>193</v>
      </c>
      <c r="L28" s="6" t="s">
        <v>70</v>
      </c>
      <c r="M28" s="6" t="s">
        <v>170</v>
      </c>
      <c r="N28" s="13">
        <v>59553</v>
      </c>
    </row>
    <row r="29" s="2" customFormat="1" spans="1:14">
      <c r="A29" s="6" t="s">
        <v>194</v>
      </c>
      <c r="B29" s="6" t="s">
        <v>194</v>
      </c>
      <c r="C29" s="6" t="s">
        <v>194</v>
      </c>
      <c r="D29" s="6" t="s">
        <v>195</v>
      </c>
      <c r="E29" s="6" t="s">
        <v>195</v>
      </c>
      <c r="F29" s="6"/>
      <c r="G29" s="6"/>
      <c r="H29" s="13" t="s">
        <v>192</v>
      </c>
      <c r="I29" s="6" t="s">
        <v>70</v>
      </c>
      <c r="J29" s="6"/>
      <c r="K29" s="6" t="s">
        <v>193</v>
      </c>
      <c r="L29" s="6" t="s">
        <v>70</v>
      </c>
      <c r="M29" s="6" t="s">
        <v>170</v>
      </c>
      <c r="N29" s="17">
        <v>59353</v>
      </c>
    </row>
    <row r="30" s="2" customFormat="1" spans="1:14">
      <c r="A30" s="6" t="s">
        <v>196</v>
      </c>
      <c r="B30" s="6" t="s">
        <v>196</v>
      </c>
      <c r="C30" s="6" t="s">
        <v>196</v>
      </c>
      <c r="D30" s="6" t="s">
        <v>197</v>
      </c>
      <c r="E30" s="6" t="s">
        <v>197</v>
      </c>
      <c r="F30" s="6"/>
      <c r="G30" s="6"/>
      <c r="H30" s="13" t="s">
        <v>198</v>
      </c>
      <c r="I30" s="6" t="s">
        <v>70</v>
      </c>
      <c r="J30" s="6"/>
      <c r="K30" s="6" t="s">
        <v>193</v>
      </c>
      <c r="L30" s="6" t="s">
        <v>199</v>
      </c>
      <c r="M30" s="6" t="s">
        <v>170</v>
      </c>
      <c r="N30" s="13">
        <v>59553</v>
      </c>
    </row>
    <row r="31" s="2" customFormat="1" spans="1:14">
      <c r="A31" s="6" t="s">
        <v>200</v>
      </c>
      <c r="B31" s="6" t="s">
        <v>200</v>
      </c>
      <c r="C31" s="6" t="s">
        <v>200</v>
      </c>
      <c r="D31" s="6" t="s">
        <v>201</v>
      </c>
      <c r="E31" s="6" t="s">
        <v>201</v>
      </c>
      <c r="F31" s="6"/>
      <c r="G31" s="6"/>
      <c r="H31" s="13" t="s">
        <v>198</v>
      </c>
      <c r="I31" s="6" t="s">
        <v>70</v>
      </c>
      <c r="J31" s="6"/>
      <c r="K31" s="6" t="s">
        <v>193</v>
      </c>
      <c r="L31" s="6" t="s">
        <v>199</v>
      </c>
      <c r="M31" s="6" t="s">
        <v>170</v>
      </c>
      <c r="N31" s="13">
        <v>59553</v>
      </c>
    </row>
    <row r="32" s="2" customFormat="1" spans="1:14">
      <c r="A32" s="6" t="s">
        <v>202</v>
      </c>
      <c r="B32" s="6" t="s">
        <v>202</v>
      </c>
      <c r="C32" s="6" t="s">
        <v>202</v>
      </c>
      <c r="D32" s="6" t="s">
        <v>203</v>
      </c>
      <c r="E32" s="6" t="s">
        <v>203</v>
      </c>
      <c r="F32" s="6"/>
      <c r="G32" s="6"/>
      <c r="H32" s="13" t="s">
        <v>204</v>
      </c>
      <c r="I32" s="6" t="s">
        <v>205</v>
      </c>
      <c r="J32" s="6"/>
      <c r="K32" s="6" t="s">
        <v>206</v>
      </c>
      <c r="L32" s="6" t="s">
        <v>207</v>
      </c>
      <c r="M32" s="6" t="s">
        <v>208</v>
      </c>
      <c r="N32" s="13" t="s">
        <v>209</v>
      </c>
    </row>
    <row r="33" s="2" customFormat="1" spans="1:14">
      <c r="A33" s="6" t="s">
        <v>210</v>
      </c>
      <c r="B33" s="6" t="s">
        <v>210</v>
      </c>
      <c r="C33" s="6" t="s">
        <v>210</v>
      </c>
      <c r="D33" s="6" t="s">
        <v>211</v>
      </c>
      <c r="E33" s="6" t="s">
        <v>211</v>
      </c>
      <c r="F33" s="6"/>
      <c r="G33" s="6"/>
      <c r="H33" s="13" t="s">
        <v>212</v>
      </c>
      <c r="I33" s="6" t="s">
        <v>70</v>
      </c>
      <c r="J33" s="6"/>
      <c r="K33" s="6" t="s">
        <v>213</v>
      </c>
      <c r="L33" s="6" t="s">
        <v>214</v>
      </c>
      <c r="M33" s="6" t="s">
        <v>208</v>
      </c>
      <c r="N33" s="17">
        <v>18196</v>
      </c>
    </row>
    <row r="34" s="2" customFormat="1" spans="1:14">
      <c r="A34" s="6" t="s">
        <v>215</v>
      </c>
      <c r="B34" s="6" t="s">
        <v>215</v>
      </c>
      <c r="C34" s="6" t="s">
        <v>215</v>
      </c>
      <c r="D34" s="6" t="s">
        <v>216</v>
      </c>
      <c r="E34" s="6" t="s">
        <v>217</v>
      </c>
      <c r="F34" s="6"/>
      <c r="G34" s="6"/>
      <c r="H34" s="13" t="s">
        <v>218</v>
      </c>
      <c r="I34" s="6" t="s">
        <v>70</v>
      </c>
      <c r="J34" s="6"/>
      <c r="K34" s="6" t="s">
        <v>219</v>
      </c>
      <c r="L34" s="6" t="s">
        <v>70</v>
      </c>
      <c r="M34" s="6" t="s">
        <v>170</v>
      </c>
      <c r="N34" s="13">
        <v>60452</v>
      </c>
    </row>
    <row r="35" s="2" customFormat="1" spans="1:14">
      <c r="A35" s="6" t="s">
        <v>220</v>
      </c>
      <c r="B35" s="6" t="s">
        <v>220</v>
      </c>
      <c r="C35" s="6" t="s">
        <v>220</v>
      </c>
      <c r="D35" s="6" t="s">
        <v>221</v>
      </c>
      <c r="E35" s="6" t="s">
        <v>221</v>
      </c>
      <c r="F35" s="6"/>
      <c r="G35" s="6"/>
      <c r="H35" s="13" t="s">
        <v>222</v>
      </c>
      <c r="I35" s="6" t="s">
        <v>70</v>
      </c>
      <c r="J35" s="6"/>
      <c r="K35" s="6" t="s">
        <v>223</v>
      </c>
      <c r="L35" s="6" t="s">
        <v>70</v>
      </c>
      <c r="M35" s="6" t="s">
        <v>170</v>
      </c>
      <c r="N35" s="13">
        <v>62117</v>
      </c>
    </row>
    <row r="36" s="2" customFormat="1" spans="1:14">
      <c r="A36" s="6" t="s">
        <v>224</v>
      </c>
      <c r="B36" s="6" t="s">
        <v>224</v>
      </c>
      <c r="C36" s="6" t="s">
        <v>224</v>
      </c>
      <c r="D36" s="6" t="s">
        <v>225</v>
      </c>
      <c r="E36" s="6" t="s">
        <v>225</v>
      </c>
      <c r="F36" s="6"/>
      <c r="G36" s="6"/>
      <c r="H36" s="13" t="s">
        <v>226</v>
      </c>
      <c r="I36" s="6" t="s">
        <v>70</v>
      </c>
      <c r="J36" s="6"/>
      <c r="K36" s="6" t="s">
        <v>227</v>
      </c>
      <c r="L36" s="6" t="s">
        <v>70</v>
      </c>
      <c r="M36" s="6" t="s">
        <v>170</v>
      </c>
      <c r="N36" s="13">
        <v>71311</v>
      </c>
    </row>
    <row r="37" s="2" customFormat="1" spans="1:14">
      <c r="A37" s="6" t="s">
        <v>228</v>
      </c>
      <c r="B37" s="6" t="s">
        <v>228</v>
      </c>
      <c r="C37" s="6" t="s">
        <v>228</v>
      </c>
      <c r="D37" s="6" t="s">
        <v>229</v>
      </c>
      <c r="E37" s="6" t="s">
        <v>229</v>
      </c>
      <c r="F37" s="6"/>
      <c r="G37" s="6"/>
      <c r="H37" s="13" t="s">
        <v>230</v>
      </c>
      <c r="I37" s="6" t="s">
        <v>70</v>
      </c>
      <c r="J37" s="6"/>
      <c r="K37" s="6" t="s">
        <v>231</v>
      </c>
      <c r="L37" s="6" t="s">
        <v>70</v>
      </c>
      <c r="M37" s="6" t="s">
        <v>170</v>
      </c>
      <c r="N37" s="13">
        <v>77380</v>
      </c>
    </row>
    <row r="38" s="2" customFormat="1" spans="1:14">
      <c r="A38" s="6" t="s">
        <v>232</v>
      </c>
      <c r="B38" s="6" t="s">
        <v>232</v>
      </c>
      <c r="C38" s="6" t="s">
        <v>232</v>
      </c>
      <c r="D38" s="6" t="s">
        <v>233</v>
      </c>
      <c r="E38" s="6" t="s">
        <v>233</v>
      </c>
      <c r="F38" s="6"/>
      <c r="G38" s="6"/>
      <c r="H38" s="13" t="s">
        <v>234</v>
      </c>
      <c r="I38" s="6" t="s">
        <v>70</v>
      </c>
      <c r="J38" s="6"/>
      <c r="K38" s="6" t="s">
        <v>235</v>
      </c>
      <c r="L38" s="6" t="s">
        <v>236</v>
      </c>
      <c r="M38" s="6" t="s">
        <v>170</v>
      </c>
      <c r="N38" s="17">
        <v>77176</v>
      </c>
    </row>
    <row r="39" s="2" customFormat="1" spans="1:14">
      <c r="A39" s="6" t="s">
        <v>237</v>
      </c>
      <c r="B39" s="6" t="s">
        <v>237</v>
      </c>
      <c r="C39" s="6" t="s">
        <v>237</v>
      </c>
      <c r="D39" s="6" t="s">
        <v>238</v>
      </c>
      <c r="E39" s="6" t="s">
        <v>238</v>
      </c>
      <c r="F39" s="6"/>
      <c r="G39" s="6"/>
      <c r="H39" s="13" t="s">
        <v>234</v>
      </c>
      <c r="I39" s="6" t="s">
        <v>70</v>
      </c>
      <c r="J39" s="6"/>
      <c r="K39" s="6" t="s">
        <v>235</v>
      </c>
      <c r="L39" s="6" t="s">
        <v>70</v>
      </c>
      <c r="M39" s="6" t="s">
        <v>170</v>
      </c>
      <c r="N39" s="13">
        <v>77176</v>
      </c>
    </row>
    <row r="40" s="2" customFormat="1" spans="1:14">
      <c r="A40" s="6" t="s">
        <v>239</v>
      </c>
      <c r="B40" s="6" t="s">
        <v>239</v>
      </c>
      <c r="C40" s="6" t="s">
        <v>239</v>
      </c>
      <c r="D40" s="6" t="s">
        <v>240</v>
      </c>
      <c r="E40" s="6" t="s">
        <v>240</v>
      </c>
      <c r="F40" s="6"/>
      <c r="G40" s="6"/>
      <c r="H40" s="13" t="s">
        <v>241</v>
      </c>
      <c r="I40" s="6" t="s">
        <v>70</v>
      </c>
      <c r="J40" s="6"/>
      <c r="K40" s="6" t="s">
        <v>242</v>
      </c>
      <c r="L40" s="6" t="s">
        <v>243</v>
      </c>
      <c r="M40" s="6" t="s">
        <v>170</v>
      </c>
      <c r="N40" s="13">
        <v>80337</v>
      </c>
    </row>
    <row r="41" s="2" customFormat="1" spans="1:14">
      <c r="A41" s="6" t="s">
        <v>244</v>
      </c>
      <c r="B41" s="6" t="s">
        <v>244</v>
      </c>
      <c r="C41" s="6" t="s">
        <v>244</v>
      </c>
      <c r="D41" s="6" t="s">
        <v>245</v>
      </c>
      <c r="E41" s="6" t="s">
        <v>245</v>
      </c>
      <c r="F41" s="6"/>
      <c r="G41" s="6"/>
      <c r="H41" s="13" t="s">
        <v>246</v>
      </c>
      <c r="I41" s="6" t="s">
        <v>70</v>
      </c>
      <c r="J41" s="6"/>
      <c r="K41" s="6" t="s">
        <v>247</v>
      </c>
      <c r="L41" s="6" t="s">
        <v>70</v>
      </c>
      <c r="M41" s="6" t="s">
        <v>170</v>
      </c>
      <c r="N41" s="13">
        <v>91225</v>
      </c>
    </row>
    <row r="42" s="2" customFormat="1" spans="1:14">
      <c r="A42" s="6" t="s">
        <v>248</v>
      </c>
      <c r="B42" s="6" t="s">
        <v>248</v>
      </c>
      <c r="C42" s="6" t="s">
        <v>248</v>
      </c>
      <c r="D42" s="6" t="s">
        <v>249</v>
      </c>
      <c r="E42" s="6" t="s">
        <v>249</v>
      </c>
      <c r="F42" s="6"/>
      <c r="G42" s="6"/>
      <c r="H42" s="13" t="s">
        <v>250</v>
      </c>
      <c r="I42" s="6" t="s">
        <v>70</v>
      </c>
      <c r="J42" s="6"/>
      <c r="K42" s="6" t="s">
        <v>251</v>
      </c>
      <c r="L42" s="6" t="s">
        <v>70</v>
      </c>
      <c r="M42" s="6" t="s">
        <v>208</v>
      </c>
      <c r="N42" s="13">
        <v>13507</v>
      </c>
    </row>
    <row r="43" s="2" customFormat="1" spans="1:14">
      <c r="A43" s="6" t="s">
        <v>252</v>
      </c>
      <c r="B43" s="6" t="s">
        <v>252</v>
      </c>
      <c r="C43" s="6" t="s">
        <v>252</v>
      </c>
      <c r="D43" s="6" t="s">
        <v>253</v>
      </c>
      <c r="E43" s="6" t="s">
        <v>253</v>
      </c>
      <c r="F43" s="6"/>
      <c r="G43" s="6"/>
      <c r="H43" s="13" t="s">
        <v>254</v>
      </c>
      <c r="I43" s="6" t="s">
        <v>70</v>
      </c>
      <c r="J43" s="6"/>
      <c r="K43" s="6" t="s">
        <v>255</v>
      </c>
      <c r="L43" s="6" t="s">
        <v>256</v>
      </c>
      <c r="M43" s="6" t="s">
        <v>208</v>
      </c>
      <c r="N43" s="13">
        <v>12529</v>
      </c>
    </row>
    <row r="44" s="2" customFormat="1" spans="1:14">
      <c r="A44" s="6" t="s">
        <v>257</v>
      </c>
      <c r="B44" s="6" t="s">
        <v>257</v>
      </c>
      <c r="C44" s="6" t="s">
        <v>257</v>
      </c>
      <c r="D44" s="6" t="s">
        <v>258</v>
      </c>
      <c r="E44" s="6" t="s">
        <v>258</v>
      </c>
      <c r="F44" s="6"/>
      <c r="G44" s="6"/>
      <c r="H44" s="13" t="s">
        <v>254</v>
      </c>
      <c r="I44" s="6" t="s">
        <v>70</v>
      </c>
      <c r="J44" s="6"/>
      <c r="K44" s="6" t="s">
        <v>255</v>
      </c>
      <c r="L44" s="6" t="s">
        <v>256</v>
      </c>
      <c r="M44" s="6" t="s">
        <v>208</v>
      </c>
      <c r="N44" s="13">
        <v>12529</v>
      </c>
    </row>
    <row r="45" s="2" customFormat="1" spans="1:14">
      <c r="A45" s="6" t="s">
        <v>259</v>
      </c>
      <c r="B45" s="6" t="s">
        <v>259</v>
      </c>
      <c r="C45" s="6" t="s">
        <v>259</v>
      </c>
      <c r="D45" s="6" t="s">
        <v>260</v>
      </c>
      <c r="E45" s="6" t="s">
        <v>260</v>
      </c>
      <c r="F45" s="6"/>
      <c r="G45" s="6"/>
      <c r="H45" s="13" t="s">
        <v>261</v>
      </c>
      <c r="I45" s="6" t="s">
        <v>70</v>
      </c>
      <c r="J45" s="6"/>
      <c r="K45" s="6" t="s">
        <v>262</v>
      </c>
      <c r="L45" s="6" t="s">
        <v>70</v>
      </c>
      <c r="M45" s="6" t="s">
        <v>208</v>
      </c>
      <c r="N45" s="13">
        <v>14656</v>
      </c>
    </row>
    <row r="46" s="2" customFormat="1" spans="1:14">
      <c r="A46" s="6" t="s">
        <v>263</v>
      </c>
      <c r="B46" s="6" t="s">
        <v>263</v>
      </c>
      <c r="C46" s="6" t="s">
        <v>263</v>
      </c>
      <c r="D46" s="6" t="s">
        <v>264</v>
      </c>
      <c r="E46" s="6" t="s">
        <v>264</v>
      </c>
      <c r="F46" s="6"/>
      <c r="G46" s="6"/>
      <c r="H46" s="13" t="s">
        <v>265</v>
      </c>
      <c r="I46" s="6" t="s">
        <v>70</v>
      </c>
      <c r="J46" s="6"/>
      <c r="K46" s="6" t="s">
        <v>266</v>
      </c>
      <c r="L46" s="6" t="s">
        <v>70</v>
      </c>
      <c r="M46" s="6" t="s">
        <v>208</v>
      </c>
      <c r="N46" s="17">
        <v>15713</v>
      </c>
    </row>
    <row r="47" s="2" customFormat="1" spans="1:14">
      <c r="A47" s="6" t="s">
        <v>267</v>
      </c>
      <c r="B47" s="6" t="s">
        <v>267</v>
      </c>
      <c r="C47" s="6" t="s">
        <v>267</v>
      </c>
      <c r="D47" s="6" t="s">
        <v>268</v>
      </c>
      <c r="E47" s="6" t="s">
        <v>268</v>
      </c>
      <c r="F47" s="6"/>
      <c r="G47" s="6"/>
      <c r="H47" s="13" t="s">
        <v>269</v>
      </c>
      <c r="I47" s="6" t="s">
        <v>70</v>
      </c>
      <c r="J47" s="6"/>
      <c r="K47" s="6" t="s">
        <v>270</v>
      </c>
      <c r="L47" s="6" t="s">
        <v>70</v>
      </c>
      <c r="M47" s="6" t="s">
        <v>208</v>
      </c>
      <c r="N47" s="13">
        <v>21423</v>
      </c>
    </row>
    <row r="48" s="2" customFormat="1" spans="1:14">
      <c r="A48" s="6" t="s">
        <v>271</v>
      </c>
      <c r="B48" s="6" t="s">
        <v>271</v>
      </c>
      <c r="C48" s="6" t="s">
        <v>271</v>
      </c>
      <c r="D48" s="6" t="s">
        <v>272</v>
      </c>
      <c r="E48" s="6" t="s">
        <v>272</v>
      </c>
      <c r="F48" s="6"/>
      <c r="G48" s="6"/>
      <c r="H48" s="13" t="s">
        <v>273</v>
      </c>
      <c r="I48" s="6" t="s">
        <v>70</v>
      </c>
      <c r="J48" s="6"/>
      <c r="K48" s="6" t="s">
        <v>274</v>
      </c>
      <c r="L48" s="6" t="s">
        <v>70</v>
      </c>
      <c r="M48" s="6" t="s">
        <v>208</v>
      </c>
      <c r="N48" s="13">
        <v>28832</v>
      </c>
    </row>
    <row r="49" s="2" customFormat="1" spans="1:14">
      <c r="A49" s="6" t="s">
        <v>275</v>
      </c>
      <c r="B49" s="6" t="s">
        <v>275</v>
      </c>
      <c r="C49" s="6" t="s">
        <v>275</v>
      </c>
      <c r="D49" s="6" t="s">
        <v>276</v>
      </c>
      <c r="E49" s="6" t="s">
        <v>276</v>
      </c>
      <c r="F49" s="6"/>
      <c r="G49" s="6"/>
      <c r="H49" s="13" t="s">
        <v>277</v>
      </c>
      <c r="I49" s="6" t="s">
        <v>70</v>
      </c>
      <c r="J49" s="6"/>
      <c r="K49" s="6" t="s">
        <v>278</v>
      </c>
      <c r="L49" s="6" t="s">
        <v>70</v>
      </c>
      <c r="M49" s="6" t="s">
        <v>208</v>
      </c>
      <c r="N49" s="13">
        <v>36251</v>
      </c>
    </row>
    <row r="50" s="2" customFormat="1" spans="1:14">
      <c r="A50" s="6" t="s">
        <v>279</v>
      </c>
      <c r="B50" s="6" t="s">
        <v>279</v>
      </c>
      <c r="C50" s="6" t="s">
        <v>279</v>
      </c>
      <c r="D50" s="6" t="s">
        <v>280</v>
      </c>
      <c r="E50" s="6" t="s">
        <v>280</v>
      </c>
      <c r="F50" s="6"/>
      <c r="G50" s="6"/>
      <c r="H50" s="13" t="s">
        <v>281</v>
      </c>
      <c r="I50" s="6" t="s">
        <v>70</v>
      </c>
      <c r="J50" s="6"/>
      <c r="K50" s="6" t="s">
        <v>278</v>
      </c>
      <c r="L50" s="6" t="s">
        <v>70</v>
      </c>
      <c r="M50" s="6" t="s">
        <v>208</v>
      </c>
      <c r="N50" s="13">
        <v>36251</v>
      </c>
    </row>
    <row r="51" s="2" customFormat="1" spans="1:14">
      <c r="A51" s="6" t="s">
        <v>282</v>
      </c>
      <c r="B51" s="6" t="s">
        <v>282</v>
      </c>
      <c r="C51" s="6" t="s">
        <v>282</v>
      </c>
      <c r="D51" s="6" t="s">
        <v>283</v>
      </c>
      <c r="E51" s="6" t="s">
        <v>283</v>
      </c>
      <c r="F51" s="6"/>
      <c r="G51" s="6"/>
      <c r="H51" s="13" t="s">
        <v>284</v>
      </c>
      <c r="I51" s="6" t="s">
        <v>70</v>
      </c>
      <c r="J51" s="6"/>
      <c r="K51" s="6" t="s">
        <v>285</v>
      </c>
      <c r="L51" s="6" t="s">
        <v>70</v>
      </c>
      <c r="M51" s="6" t="s">
        <v>208</v>
      </c>
      <c r="N51" s="13">
        <v>38350</v>
      </c>
    </row>
    <row r="52" s="2" customFormat="1" spans="1:14">
      <c r="A52" s="6" t="s">
        <v>286</v>
      </c>
      <c r="B52" s="6" t="s">
        <v>286</v>
      </c>
      <c r="C52" s="6" t="s">
        <v>286</v>
      </c>
      <c r="D52" s="6" t="s">
        <v>287</v>
      </c>
      <c r="E52" s="6" t="s">
        <v>287</v>
      </c>
      <c r="F52" s="6"/>
      <c r="G52" s="6"/>
      <c r="H52" s="13" t="s">
        <v>288</v>
      </c>
      <c r="I52" s="6" t="s">
        <v>70</v>
      </c>
      <c r="J52" s="6"/>
      <c r="K52" s="6" t="s">
        <v>289</v>
      </c>
      <c r="L52" s="6" t="s">
        <v>70</v>
      </c>
      <c r="M52" s="6" t="s">
        <v>208</v>
      </c>
      <c r="N52" s="13">
        <v>39171</v>
      </c>
    </row>
    <row r="53" s="2" customFormat="1" spans="1:14">
      <c r="A53" s="6" t="s">
        <v>290</v>
      </c>
      <c r="B53" s="6" t="s">
        <v>290</v>
      </c>
      <c r="C53" s="6" t="s">
        <v>290</v>
      </c>
      <c r="D53" s="6" t="s">
        <v>291</v>
      </c>
      <c r="E53" s="6" t="s">
        <v>291</v>
      </c>
      <c r="F53" s="6"/>
      <c r="G53" s="6"/>
      <c r="H53" s="13" t="s">
        <v>292</v>
      </c>
      <c r="I53" s="6" t="s">
        <v>70</v>
      </c>
      <c r="J53" s="6"/>
      <c r="K53" s="6" t="s">
        <v>293</v>
      </c>
      <c r="L53" s="6" t="s">
        <v>70</v>
      </c>
      <c r="M53" s="6" t="s">
        <v>208</v>
      </c>
      <c r="N53" s="13">
        <v>44145</v>
      </c>
    </row>
    <row r="54" s="2" customFormat="1" spans="1:14">
      <c r="A54" s="6" t="s">
        <v>294</v>
      </c>
      <c r="B54" s="6" t="s">
        <v>294</v>
      </c>
      <c r="C54" s="6" t="s">
        <v>294</v>
      </c>
      <c r="D54" s="6" t="s">
        <v>295</v>
      </c>
      <c r="E54" s="6" t="s">
        <v>295</v>
      </c>
      <c r="F54" s="6"/>
      <c r="G54" s="6"/>
      <c r="H54" s="13" t="s">
        <v>296</v>
      </c>
      <c r="I54" s="6" t="s">
        <v>70</v>
      </c>
      <c r="J54" s="6"/>
      <c r="K54" s="6" t="s">
        <v>293</v>
      </c>
      <c r="L54" s="6" t="s">
        <v>70</v>
      </c>
      <c r="M54" s="6" t="s">
        <v>208</v>
      </c>
      <c r="N54" s="13">
        <v>44145</v>
      </c>
    </row>
    <row r="55" s="2" customFormat="1" spans="1:14">
      <c r="A55" s="6" t="s">
        <v>297</v>
      </c>
      <c r="B55" s="6" t="s">
        <v>297</v>
      </c>
      <c r="C55" s="6" t="s">
        <v>297</v>
      </c>
      <c r="D55" s="6" t="s">
        <v>298</v>
      </c>
      <c r="E55" s="6" t="s">
        <v>299</v>
      </c>
      <c r="F55" s="6"/>
      <c r="G55" s="6"/>
      <c r="H55" s="13" t="s">
        <v>300</v>
      </c>
      <c r="I55" s="6" t="s">
        <v>70</v>
      </c>
      <c r="J55" s="6"/>
      <c r="K55" s="6" t="s">
        <v>301</v>
      </c>
      <c r="L55" s="6" t="s">
        <v>70</v>
      </c>
      <c r="M55" s="6" t="s">
        <v>208</v>
      </c>
      <c r="N55" s="17">
        <v>58454</v>
      </c>
    </row>
    <row r="56" s="2" customFormat="1" spans="1:14">
      <c r="A56" s="6" t="s">
        <v>302</v>
      </c>
      <c r="B56" s="6" t="s">
        <v>302</v>
      </c>
      <c r="C56" s="6" t="s">
        <v>302</v>
      </c>
      <c r="D56" s="6" t="s">
        <v>303</v>
      </c>
      <c r="E56" s="6" t="s">
        <v>303</v>
      </c>
      <c r="F56" s="6"/>
      <c r="G56" s="6"/>
      <c r="H56" s="13" t="s">
        <v>304</v>
      </c>
      <c r="I56" s="6" t="s">
        <v>70</v>
      </c>
      <c r="J56" s="6"/>
      <c r="K56" s="6" t="s">
        <v>305</v>
      </c>
      <c r="L56" s="6" t="s">
        <v>70</v>
      </c>
      <c r="M56" s="6" t="s">
        <v>208</v>
      </c>
      <c r="N56" s="13">
        <v>46147</v>
      </c>
    </row>
    <row r="57" s="2" customFormat="1" spans="1:14">
      <c r="A57" s="6" t="s">
        <v>306</v>
      </c>
      <c r="B57" s="6" t="s">
        <v>306</v>
      </c>
      <c r="C57" s="6" t="s">
        <v>306</v>
      </c>
      <c r="D57" s="6" t="s">
        <v>307</v>
      </c>
      <c r="E57" s="6" t="s">
        <v>307</v>
      </c>
      <c r="F57" s="6"/>
      <c r="G57" s="6"/>
      <c r="H57" s="13" t="s">
        <v>308</v>
      </c>
      <c r="I57" s="6" t="s">
        <v>70</v>
      </c>
      <c r="J57" s="6"/>
      <c r="K57" s="6" t="s">
        <v>309</v>
      </c>
      <c r="L57" s="6" t="s">
        <v>70</v>
      </c>
      <c r="M57" s="6" t="s">
        <v>208</v>
      </c>
      <c r="N57" s="13">
        <v>47495</v>
      </c>
    </row>
    <row r="58" s="2" customFormat="1" spans="1:14">
      <c r="A58" s="6" t="s">
        <v>310</v>
      </c>
      <c r="B58" s="6" t="s">
        <v>310</v>
      </c>
      <c r="C58" s="6" t="s">
        <v>310</v>
      </c>
      <c r="D58" s="6" t="s">
        <v>311</v>
      </c>
      <c r="E58" s="6" t="s">
        <v>311</v>
      </c>
      <c r="F58" s="6"/>
      <c r="G58" s="6"/>
      <c r="H58" s="13" t="s">
        <v>312</v>
      </c>
      <c r="I58" s="6" t="s">
        <v>70</v>
      </c>
      <c r="J58" s="6"/>
      <c r="K58" s="6" t="s">
        <v>313</v>
      </c>
      <c r="L58" s="6" t="s">
        <v>70</v>
      </c>
      <c r="M58" s="6" t="s">
        <v>208</v>
      </c>
      <c r="N58" s="13">
        <v>56330</v>
      </c>
    </row>
    <row r="59" s="2" customFormat="1" spans="1:14">
      <c r="A59" s="6" t="s">
        <v>314</v>
      </c>
      <c r="B59" s="6" t="s">
        <v>314</v>
      </c>
      <c r="C59" s="6" t="s">
        <v>314</v>
      </c>
      <c r="D59" s="6" t="s">
        <v>315</v>
      </c>
      <c r="E59" s="6" t="s">
        <v>315</v>
      </c>
      <c r="F59" s="6"/>
      <c r="G59" s="6"/>
      <c r="H59" s="13" t="s">
        <v>316</v>
      </c>
      <c r="I59" s="6" t="s">
        <v>70</v>
      </c>
      <c r="J59" s="6"/>
      <c r="K59" s="6" t="s">
        <v>317</v>
      </c>
      <c r="L59" s="6" t="s">
        <v>70</v>
      </c>
      <c r="M59" s="6" t="s">
        <v>208</v>
      </c>
      <c r="N59" s="13">
        <v>56477</v>
      </c>
    </row>
    <row r="60" s="2" customFormat="1" spans="1:14">
      <c r="A60" s="6" t="s">
        <v>318</v>
      </c>
      <c r="B60" s="6" t="s">
        <v>318</v>
      </c>
      <c r="C60" s="6" t="s">
        <v>318</v>
      </c>
      <c r="D60" s="6" t="s">
        <v>319</v>
      </c>
      <c r="E60" s="6" t="s">
        <v>319</v>
      </c>
      <c r="F60" s="6"/>
      <c r="G60" s="6"/>
      <c r="H60" s="13" t="s">
        <v>320</v>
      </c>
      <c r="I60" s="6" t="s">
        <v>70</v>
      </c>
      <c r="J60" s="6"/>
      <c r="K60" s="6" t="s">
        <v>321</v>
      </c>
      <c r="L60" s="6" t="s">
        <v>70</v>
      </c>
      <c r="M60" s="6" t="s">
        <v>208</v>
      </c>
      <c r="N60" s="13">
        <v>59302</v>
      </c>
    </row>
    <row r="61" s="2" customFormat="1" spans="1:14">
      <c r="A61" s="6" t="s">
        <v>322</v>
      </c>
      <c r="B61" s="6" t="s">
        <v>322</v>
      </c>
      <c r="C61" s="6" t="s">
        <v>322</v>
      </c>
      <c r="D61" s="6" t="s">
        <v>323</v>
      </c>
      <c r="E61" s="6" t="s">
        <v>323</v>
      </c>
      <c r="F61" s="6"/>
      <c r="G61" s="6"/>
      <c r="H61" s="13" t="s">
        <v>324</v>
      </c>
      <c r="I61" s="6" t="s">
        <v>70</v>
      </c>
      <c r="J61" s="6"/>
      <c r="K61" s="6" t="s">
        <v>325</v>
      </c>
      <c r="L61" s="6" t="s">
        <v>70</v>
      </c>
      <c r="M61" s="6" t="s">
        <v>208</v>
      </c>
      <c r="N61" s="13">
        <v>59368</v>
      </c>
    </row>
    <row r="62" s="2" customFormat="1" spans="1:14">
      <c r="A62" s="6" t="s">
        <v>326</v>
      </c>
      <c r="B62" s="6" t="s">
        <v>326</v>
      </c>
      <c r="C62" s="6" t="s">
        <v>326</v>
      </c>
      <c r="D62" s="6" t="s">
        <v>327</v>
      </c>
      <c r="E62" s="6" t="s">
        <v>327</v>
      </c>
      <c r="F62" s="6"/>
      <c r="G62" s="6"/>
      <c r="H62" s="13" t="s">
        <v>328</v>
      </c>
      <c r="I62" s="6" t="s">
        <v>70</v>
      </c>
      <c r="J62" s="6"/>
      <c r="K62" s="6" t="s">
        <v>329</v>
      </c>
      <c r="L62" s="6" t="s">
        <v>70</v>
      </c>
      <c r="M62" s="6" t="s">
        <v>208</v>
      </c>
      <c r="N62" s="13">
        <v>63546</v>
      </c>
    </row>
    <row r="63" s="2" customFormat="1" spans="1:14">
      <c r="A63" s="6" t="s">
        <v>330</v>
      </c>
      <c r="B63" s="6" t="s">
        <v>330</v>
      </c>
      <c r="C63" s="6" t="s">
        <v>330</v>
      </c>
      <c r="D63" s="6" t="s">
        <v>328</v>
      </c>
      <c r="E63" s="6" t="s">
        <v>331</v>
      </c>
      <c r="F63" s="6"/>
      <c r="G63" s="6"/>
      <c r="H63" s="13" t="s">
        <v>332</v>
      </c>
      <c r="I63" s="6" t="s">
        <v>70</v>
      </c>
      <c r="J63" s="6"/>
      <c r="K63" s="6" t="s">
        <v>333</v>
      </c>
      <c r="L63" s="6" t="s">
        <v>70</v>
      </c>
      <c r="M63" s="6" t="s">
        <v>208</v>
      </c>
      <c r="N63" s="13">
        <v>64720</v>
      </c>
    </row>
    <row r="64" s="2" customFormat="1" spans="1:14">
      <c r="A64" s="6" t="s">
        <v>334</v>
      </c>
      <c r="B64" s="6" t="s">
        <v>334</v>
      </c>
      <c r="C64" s="6" t="s">
        <v>334</v>
      </c>
      <c r="D64" s="6" t="s">
        <v>335</v>
      </c>
      <c r="E64" s="6" t="s">
        <v>335</v>
      </c>
      <c r="F64" s="6"/>
      <c r="G64" s="6"/>
      <c r="H64" s="13" t="s">
        <v>336</v>
      </c>
      <c r="I64" s="6" t="s">
        <v>70</v>
      </c>
      <c r="J64" s="6"/>
      <c r="K64" s="6" t="s">
        <v>337</v>
      </c>
      <c r="L64" s="6" t="s">
        <v>70</v>
      </c>
      <c r="M64" s="6" t="s">
        <v>208</v>
      </c>
      <c r="N64" s="13">
        <v>67227</v>
      </c>
    </row>
    <row r="65" s="2" customFormat="1" spans="1:14">
      <c r="A65" s="6" t="s">
        <v>338</v>
      </c>
      <c r="B65" s="6" t="s">
        <v>338</v>
      </c>
      <c r="C65" s="6" t="s">
        <v>338</v>
      </c>
      <c r="D65" s="6" t="s">
        <v>339</v>
      </c>
      <c r="E65" s="6" t="s">
        <v>339</v>
      </c>
      <c r="F65" s="6"/>
      <c r="G65" s="6"/>
      <c r="H65" s="13" t="s">
        <v>340</v>
      </c>
      <c r="I65" s="6" t="s">
        <v>70</v>
      </c>
      <c r="J65" s="6"/>
      <c r="K65" s="6" t="s">
        <v>341</v>
      </c>
      <c r="L65" s="6" t="s">
        <v>70</v>
      </c>
      <c r="M65" s="6" t="s">
        <v>208</v>
      </c>
      <c r="N65" s="13">
        <v>67661</v>
      </c>
    </row>
    <row r="66" s="2" customFormat="1" spans="1:14">
      <c r="A66" s="6" t="s">
        <v>342</v>
      </c>
      <c r="B66" s="6" t="s">
        <v>342</v>
      </c>
      <c r="C66" s="6" t="s">
        <v>342</v>
      </c>
      <c r="D66" s="6" t="s">
        <v>343</v>
      </c>
      <c r="E66" s="6" t="s">
        <v>343</v>
      </c>
      <c r="F66" s="6"/>
      <c r="G66" s="6"/>
      <c r="H66" s="13" t="s">
        <v>344</v>
      </c>
      <c r="I66" s="6" t="s">
        <v>70</v>
      </c>
      <c r="J66" s="6"/>
      <c r="K66" s="6" t="s">
        <v>345</v>
      </c>
      <c r="L66" s="6" t="s">
        <v>70</v>
      </c>
      <c r="M66" s="6" t="s">
        <v>208</v>
      </c>
      <c r="N66" s="13">
        <v>21629</v>
      </c>
    </row>
    <row r="67" s="2" customFormat="1" spans="1:14">
      <c r="A67" s="6" t="s">
        <v>346</v>
      </c>
      <c r="B67" s="6" t="s">
        <v>346</v>
      </c>
      <c r="C67" s="6" t="s">
        <v>346</v>
      </c>
      <c r="D67" s="6" t="s">
        <v>347</v>
      </c>
      <c r="E67" s="6" t="s">
        <v>347</v>
      </c>
      <c r="F67" s="6"/>
      <c r="G67" s="6"/>
      <c r="H67" s="13" t="s">
        <v>308</v>
      </c>
      <c r="I67" s="6" t="s">
        <v>70</v>
      </c>
      <c r="J67" s="6"/>
      <c r="K67" s="6" t="s">
        <v>348</v>
      </c>
      <c r="L67" s="6" t="s">
        <v>70</v>
      </c>
      <c r="M67" s="6" t="s">
        <v>208</v>
      </c>
      <c r="N67" s="13">
        <v>75177</v>
      </c>
    </row>
    <row r="68" s="2" customFormat="1" spans="1:14">
      <c r="A68" s="6" t="s">
        <v>349</v>
      </c>
      <c r="B68" s="6" t="s">
        <v>349</v>
      </c>
      <c r="C68" s="6" t="s">
        <v>349</v>
      </c>
      <c r="D68" s="6" t="s">
        <v>350</v>
      </c>
      <c r="E68" s="6" t="s">
        <v>351</v>
      </c>
      <c r="F68" s="6"/>
      <c r="G68" s="6"/>
      <c r="H68" s="13" t="s">
        <v>352</v>
      </c>
      <c r="I68" s="6" t="s">
        <v>70</v>
      </c>
      <c r="J68" s="6"/>
      <c r="K68" s="6" t="s">
        <v>353</v>
      </c>
      <c r="L68" s="6" t="s">
        <v>354</v>
      </c>
      <c r="M68" s="6" t="s">
        <v>208</v>
      </c>
      <c r="N68" s="13" t="s">
        <v>355</v>
      </c>
    </row>
    <row r="69" s="2" customFormat="1" spans="1:14">
      <c r="A69" s="6" t="s">
        <v>356</v>
      </c>
      <c r="B69" s="6" t="s">
        <v>356</v>
      </c>
      <c r="C69" s="6" t="s">
        <v>356</v>
      </c>
      <c r="D69" s="6" t="s">
        <v>357</v>
      </c>
      <c r="E69" s="6" t="s">
        <v>351</v>
      </c>
      <c r="F69" s="6"/>
      <c r="G69" s="6"/>
      <c r="H69" s="13" t="s">
        <v>352</v>
      </c>
      <c r="I69" s="6" t="s">
        <v>70</v>
      </c>
      <c r="J69" s="6"/>
      <c r="K69" s="6" t="s">
        <v>353</v>
      </c>
      <c r="L69" s="6" t="s">
        <v>354</v>
      </c>
      <c r="M69" s="6" t="s">
        <v>208</v>
      </c>
      <c r="N69" s="13" t="s">
        <v>355</v>
      </c>
    </row>
    <row r="70" s="2" customFormat="1" spans="1:14">
      <c r="A70" s="6" t="s">
        <v>358</v>
      </c>
      <c r="B70" s="6" t="s">
        <v>358</v>
      </c>
      <c r="C70" s="6" t="s">
        <v>358</v>
      </c>
      <c r="D70" s="6" t="s">
        <v>359</v>
      </c>
      <c r="E70" s="6" t="s">
        <v>360</v>
      </c>
      <c r="F70" s="6"/>
      <c r="G70" s="6"/>
      <c r="H70" s="13" t="s">
        <v>361</v>
      </c>
      <c r="I70" s="6" t="s">
        <v>70</v>
      </c>
      <c r="J70" s="6"/>
      <c r="K70" s="6" t="s">
        <v>362</v>
      </c>
      <c r="L70" s="6" t="s">
        <v>363</v>
      </c>
      <c r="M70" s="6" t="s">
        <v>364</v>
      </c>
      <c r="N70" s="13" t="s">
        <v>365</v>
      </c>
    </row>
    <row r="71" s="2" customFormat="1" spans="1:14">
      <c r="A71" s="6" t="s">
        <v>366</v>
      </c>
      <c r="B71" s="6" t="s">
        <v>366</v>
      </c>
      <c r="C71" s="6" t="s">
        <v>366</v>
      </c>
      <c r="D71" s="6" t="s">
        <v>367</v>
      </c>
      <c r="E71" s="6" t="s">
        <v>368</v>
      </c>
      <c r="F71" s="6"/>
      <c r="G71" s="6"/>
      <c r="H71" s="13" t="s">
        <v>369</v>
      </c>
      <c r="I71" s="6" t="s">
        <v>70</v>
      </c>
      <c r="J71" s="6"/>
      <c r="K71" s="6" t="s">
        <v>353</v>
      </c>
      <c r="L71" s="6" t="s">
        <v>354</v>
      </c>
      <c r="M71" s="6" t="s">
        <v>208</v>
      </c>
      <c r="N71" s="13" t="s">
        <v>355</v>
      </c>
    </row>
    <row r="72" s="2" customFormat="1" spans="1:14">
      <c r="A72" s="6" t="s">
        <v>370</v>
      </c>
      <c r="B72" s="6" t="s">
        <v>370</v>
      </c>
      <c r="C72" s="6" t="s">
        <v>370</v>
      </c>
      <c r="D72" s="6" t="s">
        <v>371</v>
      </c>
      <c r="E72" s="6" t="s">
        <v>371</v>
      </c>
      <c r="F72" s="6"/>
      <c r="G72" s="6"/>
      <c r="H72" s="13" t="s">
        <v>372</v>
      </c>
      <c r="I72" s="6" t="s">
        <v>70</v>
      </c>
      <c r="J72" s="6"/>
      <c r="K72" s="6" t="s">
        <v>373</v>
      </c>
      <c r="L72" s="6" t="s">
        <v>374</v>
      </c>
      <c r="M72" s="6" t="s">
        <v>208</v>
      </c>
      <c r="N72" s="13" t="s">
        <v>375</v>
      </c>
    </row>
    <row r="73" s="2" customFormat="1" spans="1:14">
      <c r="A73" s="6" t="s">
        <v>376</v>
      </c>
      <c r="B73" s="6" t="s">
        <v>376</v>
      </c>
      <c r="C73" s="6" t="s">
        <v>376</v>
      </c>
      <c r="D73" s="6" t="s">
        <v>377</v>
      </c>
      <c r="E73" s="6" t="s">
        <v>377</v>
      </c>
      <c r="F73" s="6"/>
      <c r="G73" s="6"/>
      <c r="H73" s="13" t="s">
        <v>372</v>
      </c>
      <c r="I73" s="6" t="s">
        <v>70</v>
      </c>
      <c r="J73" s="6"/>
      <c r="K73" s="6" t="s">
        <v>373</v>
      </c>
      <c r="L73" s="6" t="s">
        <v>374</v>
      </c>
      <c r="M73" s="6" t="s">
        <v>208</v>
      </c>
      <c r="N73" s="13" t="s">
        <v>375</v>
      </c>
    </row>
    <row r="74" s="2" customFormat="1" spans="1:14">
      <c r="A74" s="6" t="s">
        <v>378</v>
      </c>
      <c r="B74" s="6" t="s">
        <v>378</v>
      </c>
      <c r="C74" s="6" t="s">
        <v>378</v>
      </c>
      <c r="D74" s="6" t="s">
        <v>379</v>
      </c>
      <c r="E74" s="6" t="s">
        <v>379</v>
      </c>
      <c r="F74" s="6"/>
      <c r="G74" s="6"/>
      <c r="H74" s="13" t="s">
        <v>308</v>
      </c>
      <c r="I74" s="6" t="s">
        <v>70</v>
      </c>
      <c r="J74" s="6"/>
      <c r="K74" s="6" t="s">
        <v>380</v>
      </c>
      <c r="L74" s="6" t="s">
        <v>70</v>
      </c>
      <c r="M74" s="6" t="s">
        <v>208</v>
      </c>
      <c r="N74" s="13" t="s">
        <v>381</v>
      </c>
    </row>
    <row r="75" s="2" customFormat="1" spans="1:14">
      <c r="A75" s="6" t="s">
        <v>382</v>
      </c>
      <c r="B75" s="6" t="s">
        <v>382</v>
      </c>
      <c r="C75" s="6" t="s">
        <v>382</v>
      </c>
      <c r="D75" s="6" t="s">
        <v>383</v>
      </c>
      <c r="E75" s="6" t="s">
        <v>384</v>
      </c>
      <c r="F75" s="6"/>
      <c r="G75" s="6"/>
      <c r="H75" s="13" t="s">
        <v>385</v>
      </c>
      <c r="I75" s="6" t="s">
        <v>70</v>
      </c>
      <c r="J75" s="6"/>
      <c r="K75" s="6" t="s">
        <v>386</v>
      </c>
      <c r="L75" s="6" t="s">
        <v>70</v>
      </c>
      <c r="M75" s="6" t="s">
        <v>208</v>
      </c>
      <c r="N75" s="13" t="s">
        <v>387</v>
      </c>
    </row>
    <row r="76" s="2" customFormat="1" spans="1:14">
      <c r="A76" s="6" t="s">
        <v>388</v>
      </c>
      <c r="B76" s="6" t="s">
        <v>388</v>
      </c>
      <c r="C76" s="6" t="s">
        <v>388</v>
      </c>
      <c r="D76" s="6" t="s">
        <v>389</v>
      </c>
      <c r="E76" s="6" t="s">
        <v>389</v>
      </c>
      <c r="F76" s="6"/>
      <c r="G76" s="6"/>
      <c r="H76" s="13" t="s">
        <v>390</v>
      </c>
      <c r="I76" s="6" t="s">
        <v>70</v>
      </c>
      <c r="J76" s="6"/>
      <c r="K76" s="6" t="s">
        <v>391</v>
      </c>
      <c r="L76" s="6" t="s">
        <v>70</v>
      </c>
      <c r="M76" s="6" t="s">
        <v>208</v>
      </c>
      <c r="N76" s="13">
        <v>37081</v>
      </c>
    </row>
    <row r="77" s="2" customFormat="1" spans="1:14">
      <c r="A77" s="6" t="s">
        <v>392</v>
      </c>
      <c r="B77" s="6" t="s">
        <v>392</v>
      </c>
      <c r="C77" s="6" t="s">
        <v>392</v>
      </c>
      <c r="D77" s="6" t="s">
        <v>393</v>
      </c>
      <c r="E77" s="6" t="s">
        <v>393</v>
      </c>
      <c r="F77" s="6"/>
      <c r="G77" s="6"/>
      <c r="H77" s="13" t="s">
        <v>394</v>
      </c>
      <c r="I77" s="6" t="s">
        <v>70</v>
      </c>
      <c r="J77" s="6"/>
      <c r="K77" s="6" t="s">
        <v>395</v>
      </c>
      <c r="L77" s="6" t="s">
        <v>70</v>
      </c>
      <c r="M77" s="6" t="s">
        <v>208</v>
      </c>
      <c r="N77" s="13" t="s">
        <v>396</v>
      </c>
    </row>
    <row r="78" s="2" customFormat="1" spans="1:14">
      <c r="A78" s="6" t="s">
        <v>397</v>
      </c>
      <c r="B78" s="6" t="s">
        <v>397</v>
      </c>
      <c r="C78" s="6" t="s">
        <v>397</v>
      </c>
      <c r="D78" s="6" t="s">
        <v>398</v>
      </c>
      <c r="E78" s="6" t="s">
        <v>398</v>
      </c>
      <c r="F78" s="6"/>
      <c r="G78" s="6"/>
      <c r="H78" s="13" t="s">
        <v>399</v>
      </c>
      <c r="I78" s="6" t="s">
        <v>70</v>
      </c>
      <c r="J78" s="6"/>
      <c r="K78" s="6" t="s">
        <v>400</v>
      </c>
      <c r="L78" s="6" t="s">
        <v>70</v>
      </c>
      <c r="M78" s="6" t="s">
        <v>401</v>
      </c>
      <c r="N78" s="13">
        <v>10037</v>
      </c>
    </row>
    <row r="79" s="2" customFormat="1" spans="1:14">
      <c r="A79" s="6" t="s">
        <v>402</v>
      </c>
      <c r="B79" s="6" t="s">
        <v>402</v>
      </c>
      <c r="C79" s="6" t="s">
        <v>402</v>
      </c>
      <c r="D79" s="6" t="s">
        <v>403</v>
      </c>
      <c r="E79" s="6" t="s">
        <v>403</v>
      </c>
      <c r="F79" s="6"/>
      <c r="G79" s="6"/>
      <c r="H79" s="13" t="s">
        <v>404</v>
      </c>
      <c r="I79" s="6" t="s">
        <v>70</v>
      </c>
      <c r="J79" s="6"/>
      <c r="K79" s="6" t="s">
        <v>405</v>
      </c>
      <c r="L79" s="6" t="s">
        <v>70</v>
      </c>
      <c r="M79" s="6" t="s">
        <v>401</v>
      </c>
      <c r="N79" s="13">
        <v>13100</v>
      </c>
    </row>
    <row r="80" s="2" customFormat="1" spans="1:14">
      <c r="A80" s="6" t="s">
        <v>406</v>
      </c>
      <c r="B80" s="6" t="s">
        <v>406</v>
      </c>
      <c r="C80" s="6" t="s">
        <v>406</v>
      </c>
      <c r="D80" s="6" t="s">
        <v>407</v>
      </c>
      <c r="E80" s="6" t="s">
        <v>408</v>
      </c>
      <c r="F80" s="6"/>
      <c r="G80" s="6"/>
      <c r="H80" s="13" t="s">
        <v>409</v>
      </c>
      <c r="I80" s="6" t="s">
        <v>70</v>
      </c>
      <c r="J80" s="6"/>
      <c r="K80" s="6" t="s">
        <v>410</v>
      </c>
      <c r="L80" s="6" t="s">
        <v>70</v>
      </c>
      <c r="M80" s="6" t="s">
        <v>401</v>
      </c>
      <c r="N80" s="13">
        <v>20080</v>
      </c>
    </row>
    <row r="81" s="2" customFormat="1" spans="1:14">
      <c r="A81" s="6" t="s">
        <v>411</v>
      </c>
      <c r="B81" s="6" t="s">
        <v>411</v>
      </c>
      <c r="C81" s="6" t="s">
        <v>411</v>
      </c>
      <c r="D81" s="6" t="s">
        <v>412</v>
      </c>
      <c r="E81" s="6" t="s">
        <v>412</v>
      </c>
      <c r="F81" s="6"/>
      <c r="G81" s="6"/>
      <c r="H81" s="13" t="s">
        <v>409</v>
      </c>
      <c r="I81" s="6" t="s">
        <v>70</v>
      </c>
      <c r="J81" s="6"/>
      <c r="K81" s="6" t="s">
        <v>413</v>
      </c>
      <c r="L81" s="6" t="s">
        <v>70</v>
      </c>
      <c r="M81" s="6" t="s">
        <v>401</v>
      </c>
      <c r="N81" s="13">
        <v>20080</v>
      </c>
    </row>
    <row r="82" s="2" customFormat="1" spans="1:14">
      <c r="A82" s="6" t="s">
        <v>414</v>
      </c>
      <c r="B82" s="6" t="s">
        <v>414</v>
      </c>
      <c r="C82" s="6" t="s">
        <v>414</v>
      </c>
      <c r="D82" s="6" t="s">
        <v>415</v>
      </c>
      <c r="E82" s="6" t="s">
        <v>415</v>
      </c>
      <c r="F82" s="6"/>
      <c r="G82" s="6"/>
      <c r="H82" s="13" t="s">
        <v>416</v>
      </c>
      <c r="I82" s="6" t="s">
        <v>70</v>
      </c>
      <c r="J82" s="6"/>
      <c r="K82" s="6" t="s">
        <v>417</v>
      </c>
      <c r="L82" s="6" t="s">
        <v>70</v>
      </c>
      <c r="M82" s="6" t="s">
        <v>401</v>
      </c>
      <c r="N82" s="13">
        <v>24050</v>
      </c>
    </row>
    <row r="83" s="2" customFormat="1" spans="1:14">
      <c r="A83" s="6" t="s">
        <v>418</v>
      </c>
      <c r="B83" s="6" t="s">
        <v>418</v>
      </c>
      <c r="C83" s="6" t="s">
        <v>418</v>
      </c>
      <c r="D83" s="6" t="s">
        <v>419</v>
      </c>
      <c r="E83" s="6" t="s">
        <v>419</v>
      </c>
      <c r="F83" s="6"/>
      <c r="G83" s="6"/>
      <c r="H83" s="13" t="s">
        <v>420</v>
      </c>
      <c r="I83" s="6" t="s">
        <v>70</v>
      </c>
      <c r="J83" s="6"/>
      <c r="K83" s="6" t="s">
        <v>421</v>
      </c>
      <c r="L83" s="6" t="s">
        <v>70</v>
      </c>
      <c r="M83" s="6" t="s">
        <v>401</v>
      </c>
      <c r="N83" s="13">
        <v>27010</v>
      </c>
    </row>
    <row r="84" s="2" customFormat="1" spans="1:14">
      <c r="A84" s="6" t="s">
        <v>422</v>
      </c>
      <c r="B84" s="6" t="s">
        <v>422</v>
      </c>
      <c r="C84" s="6" t="s">
        <v>422</v>
      </c>
      <c r="D84" s="6" t="s">
        <v>423</v>
      </c>
      <c r="E84" s="6" t="s">
        <v>424</v>
      </c>
      <c r="F84" s="6"/>
      <c r="G84" s="6"/>
      <c r="H84" s="13" t="s">
        <v>425</v>
      </c>
      <c r="I84" s="6" t="s">
        <v>70</v>
      </c>
      <c r="J84" s="6"/>
      <c r="K84" s="6" t="s">
        <v>426</v>
      </c>
      <c r="L84" s="6" t="s">
        <v>70</v>
      </c>
      <c r="M84" s="6" t="s">
        <v>401</v>
      </c>
      <c r="N84" s="13">
        <v>28100</v>
      </c>
    </row>
    <row r="85" s="2" customFormat="1" spans="1:14">
      <c r="A85" s="6" t="s">
        <v>427</v>
      </c>
      <c r="B85" s="6" t="s">
        <v>427</v>
      </c>
      <c r="C85" s="6" t="s">
        <v>427</v>
      </c>
      <c r="D85" s="6" t="s">
        <v>428</v>
      </c>
      <c r="E85" s="6" t="s">
        <v>428</v>
      </c>
      <c r="F85" s="6"/>
      <c r="G85" s="6"/>
      <c r="H85" s="13" t="s">
        <v>429</v>
      </c>
      <c r="I85" s="6" t="s">
        <v>70</v>
      </c>
      <c r="J85" s="6"/>
      <c r="K85" s="6" t="s">
        <v>430</v>
      </c>
      <c r="L85" s="6" t="s">
        <v>70</v>
      </c>
      <c r="M85" s="6" t="s">
        <v>401</v>
      </c>
      <c r="N85" s="13">
        <v>29015</v>
      </c>
    </row>
    <row r="86" s="2" customFormat="1" spans="1:14">
      <c r="A86" s="6" t="s">
        <v>431</v>
      </c>
      <c r="B86" s="6" t="s">
        <v>431</v>
      </c>
      <c r="C86" s="6" t="s">
        <v>431</v>
      </c>
      <c r="D86" s="6" t="s">
        <v>432</v>
      </c>
      <c r="E86" s="6" t="s">
        <v>432</v>
      </c>
      <c r="F86" s="6"/>
      <c r="G86" s="6"/>
      <c r="H86" s="13" t="s">
        <v>433</v>
      </c>
      <c r="I86" s="6" t="s">
        <v>70</v>
      </c>
      <c r="J86" s="6"/>
      <c r="K86" s="6" t="s">
        <v>434</v>
      </c>
      <c r="L86" s="6" t="s">
        <v>70</v>
      </c>
      <c r="M86" s="6" t="s">
        <v>401</v>
      </c>
      <c r="N86" s="13">
        <v>45020</v>
      </c>
    </row>
    <row r="87" s="2" customFormat="1" spans="1:14">
      <c r="A87" s="6" t="s">
        <v>435</v>
      </c>
      <c r="B87" s="6" t="s">
        <v>435</v>
      </c>
      <c r="C87" s="6" t="s">
        <v>435</v>
      </c>
      <c r="D87" s="6" t="s">
        <v>436</v>
      </c>
      <c r="E87" s="6" t="s">
        <v>437</v>
      </c>
      <c r="F87" s="6"/>
      <c r="G87" s="6"/>
      <c r="H87" s="13" t="s">
        <v>438</v>
      </c>
      <c r="I87" s="6" t="s">
        <v>70</v>
      </c>
      <c r="J87" s="6"/>
      <c r="K87" s="6" t="s">
        <v>439</v>
      </c>
      <c r="L87" s="6" t="s">
        <v>70</v>
      </c>
      <c r="M87" s="6" t="s">
        <v>401</v>
      </c>
      <c r="N87" s="13">
        <v>45031</v>
      </c>
    </row>
    <row r="88" s="2" customFormat="1" spans="1:14">
      <c r="A88" s="6" t="s">
        <v>440</v>
      </c>
      <c r="B88" s="6" t="s">
        <v>440</v>
      </c>
      <c r="C88" s="6" t="s">
        <v>440</v>
      </c>
      <c r="D88" s="6" t="s">
        <v>441</v>
      </c>
      <c r="E88" s="6" t="s">
        <v>441</v>
      </c>
      <c r="F88" s="6"/>
      <c r="G88" s="6"/>
      <c r="H88" s="13" t="s">
        <v>442</v>
      </c>
      <c r="I88" s="6" t="s">
        <v>70</v>
      </c>
      <c r="J88" s="6"/>
      <c r="K88" s="6" t="s">
        <v>439</v>
      </c>
      <c r="L88" s="6" t="s">
        <v>70</v>
      </c>
      <c r="M88" s="6" t="s">
        <v>401</v>
      </c>
      <c r="N88" s="13">
        <v>45031</v>
      </c>
    </row>
    <row r="89" s="2" customFormat="1" spans="1:14">
      <c r="A89" s="6" t="s">
        <v>443</v>
      </c>
      <c r="B89" s="6" t="s">
        <v>443</v>
      </c>
      <c r="C89" s="6" t="s">
        <v>443</v>
      </c>
      <c r="D89" s="6" t="s">
        <v>444</v>
      </c>
      <c r="E89" s="6" t="s">
        <v>444</v>
      </c>
      <c r="F89" s="6"/>
      <c r="G89" s="6"/>
      <c r="H89" s="13" t="s">
        <v>445</v>
      </c>
      <c r="I89" s="6" t="s">
        <v>70</v>
      </c>
      <c r="J89" s="6"/>
      <c r="K89" s="6" t="s">
        <v>446</v>
      </c>
      <c r="L89" s="6" t="s">
        <v>447</v>
      </c>
      <c r="M89" s="6" t="s">
        <v>401</v>
      </c>
      <c r="N89" s="17">
        <v>15122</v>
      </c>
    </row>
    <row r="90" s="2" customFormat="1" spans="1:14">
      <c r="A90" s="6" t="s">
        <v>448</v>
      </c>
      <c r="B90" s="6" t="s">
        <v>448</v>
      </c>
      <c r="C90" s="6" t="s">
        <v>448</v>
      </c>
      <c r="D90" s="6" t="s">
        <v>449</v>
      </c>
      <c r="E90" s="6" t="s">
        <v>449</v>
      </c>
      <c r="F90" s="6"/>
      <c r="G90" s="6"/>
      <c r="H90" s="13" t="s">
        <v>450</v>
      </c>
      <c r="I90" s="6" t="s">
        <v>70</v>
      </c>
      <c r="J90" s="6"/>
      <c r="K90" s="6" t="s">
        <v>451</v>
      </c>
      <c r="L90" s="6" t="s">
        <v>452</v>
      </c>
      <c r="M90" s="6" t="s">
        <v>170</v>
      </c>
      <c r="N90" s="17">
        <v>80470</v>
      </c>
    </row>
    <row r="91" s="2" customFormat="1" spans="1:14">
      <c r="A91" s="6" t="s">
        <v>453</v>
      </c>
      <c r="B91" s="6" t="s">
        <v>453</v>
      </c>
      <c r="C91" s="6" t="s">
        <v>453</v>
      </c>
      <c r="D91" s="6" t="s">
        <v>454</v>
      </c>
      <c r="E91" s="6" t="s">
        <v>454</v>
      </c>
      <c r="F91" s="6"/>
      <c r="G91" s="6"/>
      <c r="H91" s="13" t="s">
        <v>455</v>
      </c>
      <c r="I91" s="6" t="s">
        <v>70</v>
      </c>
      <c r="J91" s="6"/>
      <c r="K91" s="6" t="s">
        <v>456</v>
      </c>
      <c r="L91" s="6" t="s">
        <v>70</v>
      </c>
      <c r="M91" s="6" t="s">
        <v>401</v>
      </c>
      <c r="N91" s="13">
        <v>66050</v>
      </c>
    </row>
    <row r="92" s="2" customFormat="1" spans="1:14">
      <c r="A92" s="6" t="s">
        <v>457</v>
      </c>
      <c r="B92" s="6" t="s">
        <v>457</v>
      </c>
      <c r="C92" s="6" t="s">
        <v>457</v>
      </c>
      <c r="D92" s="6" t="s">
        <v>458</v>
      </c>
      <c r="E92" s="6" t="s">
        <v>458</v>
      </c>
      <c r="F92" s="6"/>
      <c r="G92" s="6"/>
      <c r="H92" s="13" t="s">
        <v>459</v>
      </c>
      <c r="I92" s="6" t="s">
        <v>70</v>
      </c>
      <c r="J92" s="6"/>
      <c r="K92" s="6" t="s">
        <v>460</v>
      </c>
      <c r="L92" s="6" t="s">
        <v>70</v>
      </c>
      <c r="M92" s="6" t="s">
        <v>401</v>
      </c>
      <c r="N92" s="13" t="s">
        <v>461</v>
      </c>
    </row>
    <row r="93" s="2" customFormat="1" spans="1:14">
      <c r="A93" s="6" t="s">
        <v>462</v>
      </c>
      <c r="B93" s="6" t="s">
        <v>462</v>
      </c>
      <c r="C93" s="6" t="s">
        <v>462</v>
      </c>
      <c r="D93" s="6" t="s">
        <v>463</v>
      </c>
      <c r="E93" s="6" t="s">
        <v>463</v>
      </c>
      <c r="F93" s="6"/>
      <c r="G93" s="6"/>
      <c r="H93" s="13" t="s">
        <v>464</v>
      </c>
      <c r="I93" s="6" t="s">
        <v>70</v>
      </c>
      <c r="J93" s="6"/>
      <c r="K93" s="6" t="s">
        <v>465</v>
      </c>
      <c r="L93" s="6" t="s">
        <v>70</v>
      </c>
      <c r="M93" s="6" t="s">
        <v>401</v>
      </c>
      <c r="N93" s="13" t="s">
        <v>466</v>
      </c>
    </row>
    <row r="94" s="2" customFormat="1" spans="1:14">
      <c r="A94" s="6" t="s">
        <v>467</v>
      </c>
      <c r="B94" s="6" t="s">
        <v>467</v>
      </c>
      <c r="C94" s="6" t="s">
        <v>467</v>
      </c>
      <c r="D94" s="6" t="s">
        <v>468</v>
      </c>
      <c r="E94" s="6" t="s">
        <v>468</v>
      </c>
      <c r="F94" s="6"/>
      <c r="G94" s="6"/>
      <c r="H94" s="13" t="s">
        <v>469</v>
      </c>
      <c r="I94" s="6" t="s">
        <v>70</v>
      </c>
      <c r="J94" s="6"/>
      <c r="K94" s="6" t="s">
        <v>470</v>
      </c>
      <c r="L94" s="6" t="s">
        <v>70</v>
      </c>
      <c r="M94" s="6" t="s">
        <v>364</v>
      </c>
      <c r="N94" s="13">
        <v>41208</v>
      </c>
    </row>
    <row r="95" s="2" customFormat="1" spans="1:14">
      <c r="A95" s="6" t="s">
        <v>471</v>
      </c>
      <c r="B95" s="6" t="s">
        <v>471</v>
      </c>
      <c r="C95" s="6" t="s">
        <v>471</v>
      </c>
      <c r="D95" s="6" t="s">
        <v>472</v>
      </c>
      <c r="E95" s="6" t="s">
        <v>472</v>
      </c>
      <c r="F95" s="6"/>
      <c r="G95" s="6"/>
      <c r="H95" s="13" t="s">
        <v>473</v>
      </c>
      <c r="I95" s="6" t="s">
        <v>70</v>
      </c>
      <c r="J95" s="6"/>
      <c r="K95" s="6" t="s">
        <v>474</v>
      </c>
      <c r="L95" s="6" t="s">
        <v>70</v>
      </c>
      <c r="M95" s="6" t="s">
        <v>364</v>
      </c>
      <c r="N95" s="13">
        <v>55020</v>
      </c>
    </row>
    <row r="96" s="2" customFormat="1" spans="1:14">
      <c r="A96" s="6" t="s">
        <v>475</v>
      </c>
      <c r="B96" s="6" t="s">
        <v>475</v>
      </c>
      <c r="C96" s="6" t="s">
        <v>475</v>
      </c>
      <c r="D96" s="6" t="s">
        <v>476</v>
      </c>
      <c r="E96" s="6" t="s">
        <v>476</v>
      </c>
      <c r="F96" s="6"/>
      <c r="G96" s="6"/>
      <c r="H96" s="13" t="s">
        <v>477</v>
      </c>
      <c r="I96" s="6" t="s">
        <v>70</v>
      </c>
      <c r="J96" s="6"/>
      <c r="K96" s="6" t="s">
        <v>478</v>
      </c>
      <c r="L96" s="6" t="s">
        <v>70</v>
      </c>
      <c r="M96" s="6" t="s">
        <v>364</v>
      </c>
      <c r="N96" s="13">
        <v>55040</v>
      </c>
    </row>
    <row r="97" s="2" customFormat="1" spans="1:14">
      <c r="A97" s="6" t="s">
        <v>479</v>
      </c>
      <c r="B97" s="6" t="s">
        <v>479</v>
      </c>
      <c r="C97" s="6" t="s">
        <v>479</v>
      </c>
      <c r="D97" s="6" t="s">
        <v>480</v>
      </c>
      <c r="E97" s="6" t="s">
        <v>480</v>
      </c>
      <c r="F97" s="6"/>
      <c r="G97" s="6"/>
      <c r="H97" s="13" t="s">
        <v>352</v>
      </c>
      <c r="I97" s="6" t="s">
        <v>70</v>
      </c>
      <c r="J97" s="6"/>
      <c r="K97" s="6" t="s">
        <v>353</v>
      </c>
      <c r="L97" s="6" t="s">
        <v>354</v>
      </c>
      <c r="M97" s="6" t="s">
        <v>208</v>
      </c>
      <c r="N97" s="13" t="s">
        <v>355</v>
      </c>
    </row>
    <row r="98" s="2" customFormat="1" spans="1:14">
      <c r="A98" s="6" t="s">
        <v>481</v>
      </c>
      <c r="B98" s="6" t="s">
        <v>481</v>
      </c>
      <c r="C98" s="6" t="s">
        <v>481</v>
      </c>
      <c r="D98" s="6" t="s">
        <v>482</v>
      </c>
      <c r="E98" s="6" t="s">
        <v>482</v>
      </c>
      <c r="F98" s="6"/>
      <c r="G98" s="6"/>
      <c r="H98" s="13" t="s">
        <v>483</v>
      </c>
      <c r="I98" s="6" t="s">
        <v>70</v>
      </c>
      <c r="J98" s="6"/>
      <c r="K98" s="6" t="s">
        <v>478</v>
      </c>
      <c r="L98" s="6" t="s">
        <v>70</v>
      </c>
      <c r="M98" s="6" t="s">
        <v>364</v>
      </c>
      <c r="N98" s="13">
        <v>55040</v>
      </c>
    </row>
    <row r="99" s="2" customFormat="1" spans="1:14">
      <c r="A99" s="6" t="s">
        <v>484</v>
      </c>
      <c r="B99" s="6" t="s">
        <v>484</v>
      </c>
      <c r="C99" s="6" t="s">
        <v>484</v>
      </c>
      <c r="D99" s="6" t="s">
        <v>485</v>
      </c>
      <c r="E99" s="6" t="s">
        <v>485</v>
      </c>
      <c r="F99" s="6"/>
      <c r="G99" s="6"/>
      <c r="H99" s="13" t="s">
        <v>486</v>
      </c>
      <c r="I99" s="6" t="s">
        <v>70</v>
      </c>
      <c r="J99" s="6"/>
      <c r="K99" s="6" t="s">
        <v>487</v>
      </c>
      <c r="L99" s="6" t="s">
        <v>488</v>
      </c>
      <c r="M99" s="6" t="s">
        <v>364</v>
      </c>
      <c r="N99" s="13">
        <v>59225</v>
      </c>
    </row>
    <row r="100" s="2" customFormat="1" spans="1:14">
      <c r="A100" s="6" t="s">
        <v>489</v>
      </c>
      <c r="B100" s="6" t="s">
        <v>489</v>
      </c>
      <c r="C100" s="6" t="s">
        <v>489</v>
      </c>
      <c r="D100" s="6" t="s">
        <v>490</v>
      </c>
      <c r="E100" s="6" t="s">
        <v>490</v>
      </c>
      <c r="F100" s="6"/>
      <c r="G100" s="6"/>
      <c r="H100" s="13" t="s">
        <v>491</v>
      </c>
      <c r="I100" s="6" t="s">
        <v>70</v>
      </c>
      <c r="J100" s="6"/>
      <c r="K100" s="6" t="s">
        <v>492</v>
      </c>
      <c r="L100" s="6" t="s">
        <v>70</v>
      </c>
      <c r="M100" s="6" t="s">
        <v>364</v>
      </c>
      <c r="N100" s="13">
        <v>62080</v>
      </c>
    </row>
    <row r="101" s="2" customFormat="1" spans="1:14">
      <c r="A101" s="6" t="s">
        <v>493</v>
      </c>
      <c r="B101" s="6" t="s">
        <v>493</v>
      </c>
      <c r="C101" s="6" t="s">
        <v>493</v>
      </c>
      <c r="D101" s="6" t="s">
        <v>494</v>
      </c>
      <c r="E101" s="6" t="s">
        <v>494</v>
      </c>
      <c r="F101" s="6"/>
      <c r="G101" s="6"/>
      <c r="H101" s="13" t="s">
        <v>495</v>
      </c>
      <c r="I101" s="6" t="s">
        <v>70</v>
      </c>
      <c r="J101" s="6"/>
      <c r="K101" s="6" t="s">
        <v>496</v>
      </c>
      <c r="L101" s="6" t="s">
        <v>70</v>
      </c>
      <c r="M101" s="6" t="s">
        <v>364</v>
      </c>
      <c r="N101" s="13">
        <v>72001</v>
      </c>
    </row>
    <row r="102" s="2" customFormat="1" spans="1:14">
      <c r="A102" s="6" t="s">
        <v>497</v>
      </c>
      <c r="B102" s="6" t="s">
        <v>497</v>
      </c>
      <c r="C102" s="6" t="s">
        <v>497</v>
      </c>
      <c r="D102" s="6" t="s">
        <v>498</v>
      </c>
      <c r="E102" s="6" t="s">
        <v>498</v>
      </c>
      <c r="F102" s="6"/>
      <c r="G102" s="6"/>
      <c r="H102" s="13" t="s">
        <v>499</v>
      </c>
      <c r="I102" s="6" t="s">
        <v>70</v>
      </c>
      <c r="J102" s="6"/>
      <c r="K102" s="6" t="s">
        <v>500</v>
      </c>
      <c r="L102" s="6" t="s">
        <v>70</v>
      </c>
      <c r="M102" s="6" t="s">
        <v>364</v>
      </c>
      <c r="N102" s="13">
        <v>93614</v>
      </c>
    </row>
    <row r="103" s="2" customFormat="1" spans="1:14">
      <c r="A103" s="6" t="s">
        <v>501</v>
      </c>
      <c r="B103" s="6" t="s">
        <v>501</v>
      </c>
      <c r="C103" s="6" t="s">
        <v>501</v>
      </c>
      <c r="D103" s="6" t="s">
        <v>502</v>
      </c>
      <c r="E103" s="6" t="s">
        <v>502</v>
      </c>
      <c r="F103" s="6"/>
      <c r="G103" s="6"/>
      <c r="H103" s="13" t="s">
        <v>503</v>
      </c>
      <c r="I103" s="6" t="s">
        <v>70</v>
      </c>
      <c r="J103" s="6"/>
      <c r="K103" s="6" t="s">
        <v>500</v>
      </c>
      <c r="L103" s="6" t="s">
        <v>70</v>
      </c>
      <c r="M103" s="6" t="s">
        <v>364</v>
      </c>
      <c r="N103" s="13">
        <v>93614</v>
      </c>
    </row>
    <row r="104" s="2" customFormat="1" spans="1:14">
      <c r="A104" s="6" t="s">
        <v>504</v>
      </c>
      <c r="B104" s="6" t="s">
        <v>504</v>
      </c>
      <c r="C104" s="6" t="s">
        <v>504</v>
      </c>
      <c r="D104" s="6" t="s">
        <v>505</v>
      </c>
      <c r="E104" s="6" t="s">
        <v>505</v>
      </c>
      <c r="F104" s="6"/>
      <c r="G104" s="6"/>
      <c r="H104" s="13" t="s">
        <v>506</v>
      </c>
      <c r="I104" s="6" t="s">
        <v>70</v>
      </c>
      <c r="J104" s="6"/>
      <c r="K104" s="6" t="s">
        <v>507</v>
      </c>
      <c r="L104" s="6" t="s">
        <v>70</v>
      </c>
      <c r="M104" s="6" t="s">
        <v>364</v>
      </c>
      <c r="N104" s="13">
        <v>95200</v>
      </c>
    </row>
    <row r="105" s="2" customFormat="1" spans="1:14">
      <c r="A105" s="6" t="s">
        <v>508</v>
      </c>
      <c r="B105" s="6" t="s">
        <v>508</v>
      </c>
      <c r="C105" s="6" t="s">
        <v>508</v>
      </c>
      <c r="D105" s="6" t="s">
        <v>509</v>
      </c>
      <c r="E105" s="6" t="s">
        <v>509</v>
      </c>
      <c r="F105" s="6"/>
      <c r="G105" s="6"/>
      <c r="H105" s="13" t="s">
        <v>510</v>
      </c>
      <c r="I105" s="6" t="s">
        <v>70</v>
      </c>
      <c r="J105" s="6"/>
      <c r="K105" s="6" t="s">
        <v>341</v>
      </c>
      <c r="L105" s="6" t="s">
        <v>511</v>
      </c>
      <c r="M105" s="6" t="s">
        <v>208</v>
      </c>
      <c r="N105" s="13" t="s">
        <v>512</v>
      </c>
    </row>
    <row r="106" s="2" customFormat="1" spans="1:14">
      <c r="A106" s="6" t="s">
        <v>513</v>
      </c>
      <c r="B106" s="6" t="s">
        <v>513</v>
      </c>
      <c r="C106" s="6" t="s">
        <v>513</v>
      </c>
      <c r="D106" s="6" t="s">
        <v>514</v>
      </c>
      <c r="E106" s="6" t="s">
        <v>514</v>
      </c>
      <c r="F106" s="6"/>
      <c r="G106" s="6"/>
      <c r="H106" s="13" t="s">
        <v>515</v>
      </c>
      <c r="I106" s="6" t="s">
        <v>70</v>
      </c>
      <c r="J106" s="6"/>
      <c r="K106" s="6" t="s">
        <v>516</v>
      </c>
      <c r="L106" s="6" t="s">
        <v>70</v>
      </c>
      <c r="M106" s="6" t="s">
        <v>517</v>
      </c>
      <c r="N106" s="13">
        <v>19208</v>
      </c>
    </row>
    <row r="107" s="2" customFormat="1" spans="1:14">
      <c r="A107" s="6" t="s">
        <v>518</v>
      </c>
      <c r="B107" s="6" t="s">
        <v>518</v>
      </c>
      <c r="C107" s="6" t="s">
        <v>518</v>
      </c>
      <c r="D107" s="6" t="s">
        <v>519</v>
      </c>
      <c r="E107" s="6" t="s">
        <v>519</v>
      </c>
      <c r="F107" s="6"/>
      <c r="G107" s="6"/>
      <c r="H107" s="13" t="s">
        <v>520</v>
      </c>
      <c r="I107" s="6" t="s">
        <v>70</v>
      </c>
      <c r="J107" s="6"/>
      <c r="K107" s="6" t="s">
        <v>521</v>
      </c>
      <c r="L107" s="6" t="s">
        <v>70</v>
      </c>
      <c r="M107" s="6" t="s">
        <v>517</v>
      </c>
      <c r="N107" s="13">
        <v>28096</v>
      </c>
    </row>
    <row r="108" s="2" customFormat="1" spans="1:14">
      <c r="A108" s="6" t="s">
        <v>522</v>
      </c>
      <c r="B108" s="6" t="s">
        <v>522</v>
      </c>
      <c r="C108" s="6" t="s">
        <v>522</v>
      </c>
      <c r="D108" s="6" t="s">
        <v>523</v>
      </c>
      <c r="E108" s="6" t="s">
        <v>523</v>
      </c>
      <c r="F108" s="6"/>
      <c r="G108" s="6"/>
      <c r="H108" s="13" t="s">
        <v>524</v>
      </c>
      <c r="I108" s="6" t="s">
        <v>70</v>
      </c>
      <c r="J108" s="6"/>
      <c r="K108" s="6" t="s">
        <v>525</v>
      </c>
      <c r="L108" s="6" t="s">
        <v>70</v>
      </c>
      <c r="M108" s="6" t="s">
        <v>517</v>
      </c>
      <c r="N108" s="13">
        <v>28805</v>
      </c>
    </row>
    <row r="109" s="2" customFormat="1" spans="1:14">
      <c r="A109" s="6" t="s">
        <v>526</v>
      </c>
      <c r="B109" s="6" t="s">
        <v>526</v>
      </c>
      <c r="C109" s="6" t="s">
        <v>526</v>
      </c>
      <c r="D109" s="6" t="s">
        <v>527</v>
      </c>
      <c r="E109" s="6" t="s">
        <v>527</v>
      </c>
      <c r="F109" s="6"/>
      <c r="G109" s="6"/>
      <c r="H109" s="13" t="s">
        <v>524</v>
      </c>
      <c r="I109" s="6" t="s">
        <v>70</v>
      </c>
      <c r="J109" s="6"/>
      <c r="K109" s="6" t="s">
        <v>525</v>
      </c>
      <c r="L109" s="6" t="s">
        <v>528</v>
      </c>
      <c r="M109" s="6" t="s">
        <v>517</v>
      </c>
      <c r="N109" s="13" t="s">
        <v>529</v>
      </c>
    </row>
    <row r="110" s="2" customFormat="1" spans="1:14">
      <c r="A110" s="6" t="s">
        <v>530</v>
      </c>
      <c r="B110" s="6" t="s">
        <v>530</v>
      </c>
      <c r="C110" s="6" t="s">
        <v>530</v>
      </c>
      <c r="D110" s="6" t="s">
        <v>531</v>
      </c>
      <c r="E110" s="6" t="s">
        <v>531</v>
      </c>
      <c r="F110" s="6"/>
      <c r="G110" s="6"/>
      <c r="H110" s="13" t="s">
        <v>532</v>
      </c>
      <c r="I110" s="6" t="s">
        <v>70</v>
      </c>
      <c r="J110" s="6"/>
      <c r="K110" s="6" t="s">
        <v>533</v>
      </c>
      <c r="L110" s="6" t="s">
        <v>70</v>
      </c>
      <c r="M110" s="6" t="s">
        <v>517</v>
      </c>
      <c r="N110" s="13">
        <v>28830</v>
      </c>
    </row>
    <row r="111" s="2" customFormat="1" spans="1:14">
      <c r="A111" s="6" t="s">
        <v>534</v>
      </c>
      <c r="B111" s="6" t="s">
        <v>534</v>
      </c>
      <c r="C111" s="6" t="s">
        <v>534</v>
      </c>
      <c r="D111" s="6" t="s">
        <v>535</v>
      </c>
      <c r="E111" s="6" t="s">
        <v>535</v>
      </c>
      <c r="F111" s="6"/>
      <c r="G111" s="6"/>
      <c r="H111" s="13" t="s">
        <v>536</v>
      </c>
      <c r="I111" s="6" t="s">
        <v>70</v>
      </c>
      <c r="J111" s="6"/>
      <c r="K111" s="6" t="s">
        <v>521</v>
      </c>
      <c r="L111" s="6" t="s">
        <v>70</v>
      </c>
      <c r="M111" s="6" t="s">
        <v>517</v>
      </c>
      <c r="N111" s="13">
        <v>28906</v>
      </c>
    </row>
    <row r="112" s="2" customFormat="1" spans="1:14">
      <c r="A112" s="6" t="s">
        <v>537</v>
      </c>
      <c r="B112" s="6" t="s">
        <v>537</v>
      </c>
      <c r="C112" s="6" t="s">
        <v>537</v>
      </c>
      <c r="D112" s="6" t="s">
        <v>538</v>
      </c>
      <c r="E112" s="6" t="s">
        <v>538</v>
      </c>
      <c r="F112" s="6"/>
      <c r="G112" s="6"/>
      <c r="H112" s="13" t="s">
        <v>539</v>
      </c>
      <c r="I112" s="6" t="s">
        <v>70</v>
      </c>
      <c r="J112" s="6"/>
      <c r="K112" s="6" t="s">
        <v>540</v>
      </c>
      <c r="L112" s="6" t="s">
        <v>70</v>
      </c>
      <c r="M112" s="6" t="s">
        <v>517</v>
      </c>
      <c r="N112" s="13">
        <v>30156</v>
      </c>
    </row>
    <row r="113" s="2" customFormat="1" spans="1:14">
      <c r="A113" s="6" t="s">
        <v>541</v>
      </c>
      <c r="B113" s="6" t="s">
        <v>541</v>
      </c>
      <c r="C113" s="6" t="s">
        <v>541</v>
      </c>
      <c r="D113" s="6" t="s">
        <v>542</v>
      </c>
      <c r="E113" s="6" t="s">
        <v>542</v>
      </c>
      <c r="F113" s="6"/>
      <c r="G113" s="6"/>
      <c r="H113" s="13" t="s">
        <v>543</v>
      </c>
      <c r="I113" s="6" t="s">
        <v>70</v>
      </c>
      <c r="J113" s="6"/>
      <c r="K113" s="6" t="s">
        <v>544</v>
      </c>
      <c r="L113" s="6" t="s">
        <v>70</v>
      </c>
      <c r="M113" s="6" t="s">
        <v>517</v>
      </c>
      <c r="N113" s="13">
        <v>41703</v>
      </c>
    </row>
    <row r="114" s="2" customFormat="1" spans="1:14">
      <c r="A114" s="6" t="s">
        <v>545</v>
      </c>
      <c r="B114" s="6" t="s">
        <v>545</v>
      </c>
      <c r="C114" s="6" t="s">
        <v>545</v>
      </c>
      <c r="D114" s="6" t="s">
        <v>546</v>
      </c>
      <c r="E114" s="6" t="s">
        <v>546</v>
      </c>
      <c r="F114" s="6"/>
      <c r="G114" s="6"/>
      <c r="H114" s="13" t="s">
        <v>547</v>
      </c>
      <c r="I114" s="6" t="s">
        <v>70</v>
      </c>
      <c r="J114" s="6"/>
      <c r="K114" s="6" t="s">
        <v>548</v>
      </c>
      <c r="L114" s="6" t="s">
        <v>70</v>
      </c>
      <c r="M114" s="6" t="s">
        <v>517</v>
      </c>
      <c r="N114" s="13">
        <v>45200</v>
      </c>
    </row>
    <row r="115" s="2" customFormat="1" spans="1:14">
      <c r="A115" s="6" t="s">
        <v>549</v>
      </c>
      <c r="B115" s="6" t="s">
        <v>549</v>
      </c>
      <c r="C115" s="6" t="s">
        <v>549</v>
      </c>
      <c r="D115" s="6" t="s">
        <v>550</v>
      </c>
      <c r="E115" s="6" t="s">
        <v>550</v>
      </c>
      <c r="F115" s="6"/>
      <c r="G115" s="6"/>
      <c r="H115" s="13" t="s">
        <v>551</v>
      </c>
      <c r="I115" s="6" t="s">
        <v>70</v>
      </c>
      <c r="J115" s="6"/>
      <c r="K115" s="6" t="s">
        <v>552</v>
      </c>
      <c r="L115" s="6" t="s">
        <v>70</v>
      </c>
      <c r="M115" s="6" t="s">
        <v>517</v>
      </c>
      <c r="N115" s="13">
        <v>45200</v>
      </c>
    </row>
    <row r="116" s="2" customFormat="1" spans="1:14">
      <c r="A116" s="6" t="s">
        <v>553</v>
      </c>
      <c r="B116" s="6" t="s">
        <v>553</v>
      </c>
      <c r="C116" s="6" t="s">
        <v>553</v>
      </c>
      <c r="D116" s="6" t="s">
        <v>554</v>
      </c>
      <c r="E116" s="6" t="s">
        <v>554</v>
      </c>
      <c r="F116" s="6"/>
      <c r="G116" s="6"/>
      <c r="H116" s="13" t="s">
        <v>555</v>
      </c>
      <c r="I116" s="6" t="s">
        <v>70</v>
      </c>
      <c r="J116" s="6"/>
      <c r="K116" s="6" t="s">
        <v>556</v>
      </c>
      <c r="L116" s="6" t="s">
        <v>70</v>
      </c>
      <c r="M116" s="6" t="s">
        <v>517</v>
      </c>
      <c r="N116" s="13">
        <v>45340</v>
      </c>
    </row>
    <row r="117" s="2" customFormat="1" spans="1:14">
      <c r="A117" s="6" t="s">
        <v>557</v>
      </c>
      <c r="B117" s="6" t="s">
        <v>557</v>
      </c>
      <c r="C117" s="6" t="s">
        <v>557</v>
      </c>
      <c r="D117" s="6" t="s">
        <v>558</v>
      </c>
      <c r="E117" s="6" t="s">
        <v>558</v>
      </c>
      <c r="F117" s="6"/>
      <c r="G117" s="6"/>
      <c r="H117" s="13" t="s">
        <v>559</v>
      </c>
      <c r="I117" s="6" t="s">
        <v>70</v>
      </c>
      <c r="J117" s="6"/>
      <c r="K117" s="6" t="s">
        <v>560</v>
      </c>
      <c r="L117" s="6" t="s">
        <v>70</v>
      </c>
      <c r="M117" s="6" t="s">
        <v>517</v>
      </c>
      <c r="N117" s="13" t="s">
        <v>561</v>
      </c>
    </row>
    <row r="118" s="2" customFormat="1" spans="1:14">
      <c r="A118" s="6" t="s">
        <v>562</v>
      </c>
      <c r="B118" s="6" t="s">
        <v>562</v>
      </c>
      <c r="C118" s="6" t="s">
        <v>562</v>
      </c>
      <c r="D118" s="6" t="s">
        <v>563</v>
      </c>
      <c r="E118" s="6" t="s">
        <v>563</v>
      </c>
      <c r="F118" s="6"/>
      <c r="G118" s="6"/>
      <c r="H118" s="13" t="s">
        <v>564</v>
      </c>
      <c r="I118" s="6" t="s">
        <v>70</v>
      </c>
      <c r="J118" s="6"/>
      <c r="K118" s="6" t="s">
        <v>565</v>
      </c>
      <c r="L118" s="6" t="s">
        <v>70</v>
      </c>
      <c r="M118" s="6" t="s">
        <v>517</v>
      </c>
      <c r="N118" s="13" t="s">
        <v>566</v>
      </c>
    </row>
    <row r="119" s="2" customFormat="1" spans="1:14">
      <c r="A119" s="6" t="s">
        <v>567</v>
      </c>
      <c r="B119" s="6" t="s">
        <v>567</v>
      </c>
      <c r="C119" s="6" t="s">
        <v>567</v>
      </c>
      <c r="D119" s="6" t="s">
        <v>568</v>
      </c>
      <c r="E119" s="6" t="s">
        <v>568</v>
      </c>
      <c r="F119" s="6"/>
      <c r="G119" s="6"/>
      <c r="H119" s="13" t="s">
        <v>569</v>
      </c>
      <c r="I119" s="6" t="s">
        <v>70</v>
      </c>
      <c r="J119" s="6"/>
      <c r="K119" s="6" t="s">
        <v>570</v>
      </c>
      <c r="L119" s="6" t="s">
        <v>70</v>
      </c>
      <c r="M119" s="6" t="s">
        <v>517</v>
      </c>
      <c r="N119" s="13" t="s">
        <v>571</v>
      </c>
    </row>
    <row r="120" s="2" customFormat="1" spans="1:14">
      <c r="A120" s="6" t="s">
        <v>572</v>
      </c>
      <c r="B120" s="6" t="s">
        <v>572</v>
      </c>
      <c r="C120" s="6" t="s">
        <v>572</v>
      </c>
      <c r="D120" s="6" t="s">
        <v>573</v>
      </c>
      <c r="E120" s="6" t="s">
        <v>573</v>
      </c>
      <c r="F120" s="6"/>
      <c r="G120" s="6"/>
      <c r="H120" s="13" t="s">
        <v>574</v>
      </c>
      <c r="I120" s="6" t="s">
        <v>70</v>
      </c>
      <c r="J120" s="6"/>
      <c r="K120" s="6" t="s">
        <v>575</v>
      </c>
      <c r="L120" s="6" t="s">
        <v>70</v>
      </c>
      <c r="M120" s="6" t="s">
        <v>517</v>
      </c>
      <c r="N120" s="13" t="s">
        <v>576</v>
      </c>
    </row>
    <row r="121" s="2" customFormat="1" spans="1:14">
      <c r="A121" s="6" t="s">
        <v>577</v>
      </c>
      <c r="B121" s="6" t="s">
        <v>577</v>
      </c>
      <c r="C121" s="6" t="s">
        <v>577</v>
      </c>
      <c r="D121" s="6" t="s">
        <v>578</v>
      </c>
      <c r="E121" s="6" t="s">
        <v>579</v>
      </c>
      <c r="F121" s="6"/>
      <c r="G121" s="6"/>
      <c r="H121" s="13" t="s">
        <v>580</v>
      </c>
      <c r="I121" s="6" t="s">
        <v>70</v>
      </c>
      <c r="J121" s="6"/>
      <c r="K121" s="6" t="s">
        <v>581</v>
      </c>
      <c r="L121" s="6" t="s">
        <v>582</v>
      </c>
      <c r="M121" s="6" t="s">
        <v>517</v>
      </c>
      <c r="N121" s="13" t="s">
        <v>583</v>
      </c>
    </row>
    <row r="122" s="2" customFormat="1" spans="1:14">
      <c r="A122" s="6" t="s">
        <v>584</v>
      </c>
      <c r="B122" s="6" t="s">
        <v>584</v>
      </c>
      <c r="C122" s="6"/>
      <c r="D122" s="6" t="s">
        <v>585</v>
      </c>
      <c r="E122" s="6" t="s">
        <v>585</v>
      </c>
      <c r="F122" s="6"/>
      <c r="G122" s="6"/>
      <c r="H122" s="13" t="s">
        <v>586</v>
      </c>
      <c r="I122" s="6" t="s">
        <v>70</v>
      </c>
      <c r="J122" s="6"/>
      <c r="K122" s="6" t="s">
        <v>587</v>
      </c>
      <c r="L122" s="6" t="s">
        <v>70</v>
      </c>
      <c r="M122" s="6" t="s">
        <v>517</v>
      </c>
      <c r="N122" s="13">
        <v>12200</v>
      </c>
    </row>
    <row r="123" s="2" customFormat="1" ht="16.8" spans="1:14">
      <c r="A123" s="6" t="s">
        <v>588</v>
      </c>
      <c r="B123" s="6" t="s">
        <v>588</v>
      </c>
      <c r="C123" s="6"/>
      <c r="D123" s="6" t="s">
        <v>589</v>
      </c>
      <c r="E123" s="6" t="s">
        <v>589</v>
      </c>
      <c r="F123" s="6"/>
      <c r="G123" s="6"/>
      <c r="H123" s="13" t="s">
        <v>590</v>
      </c>
      <c r="I123" s="6" t="s">
        <v>70</v>
      </c>
      <c r="J123" s="6"/>
      <c r="K123" s="18" t="s">
        <v>591</v>
      </c>
      <c r="L123" s="6" t="s">
        <v>70</v>
      </c>
      <c r="M123" s="6" t="s">
        <v>170</v>
      </c>
      <c r="N123" s="13">
        <v>38290</v>
      </c>
    </row>
    <row r="124" s="2" customFormat="1" spans="1:14">
      <c r="A124" s="6" t="s">
        <v>592</v>
      </c>
      <c r="B124" s="6" t="s">
        <v>592</v>
      </c>
      <c r="C124" s="6"/>
      <c r="D124" s="6" t="s">
        <v>593</v>
      </c>
      <c r="E124" s="6" t="s">
        <v>593</v>
      </c>
      <c r="F124" s="6"/>
      <c r="G124" s="6"/>
      <c r="H124" s="13" t="s">
        <v>594</v>
      </c>
      <c r="I124" s="6" t="s">
        <v>70</v>
      </c>
      <c r="J124" s="6"/>
      <c r="K124" s="6" t="s">
        <v>595</v>
      </c>
      <c r="L124" s="6" t="s">
        <v>70</v>
      </c>
      <c r="M124" s="6" t="s">
        <v>208</v>
      </c>
      <c r="N124" s="13" t="s">
        <v>596</v>
      </c>
    </row>
    <row r="125" s="2" customFormat="1" spans="1:14">
      <c r="A125" s="6" t="s">
        <v>597</v>
      </c>
      <c r="B125" s="6" t="s">
        <v>597</v>
      </c>
      <c r="C125" s="6" t="s">
        <v>597</v>
      </c>
      <c r="D125" s="6" t="s">
        <v>598</v>
      </c>
      <c r="E125" s="6" t="s">
        <v>598</v>
      </c>
      <c r="F125" s="6"/>
      <c r="G125" s="6"/>
      <c r="H125" s="13" t="s">
        <v>599</v>
      </c>
      <c r="I125" s="6" t="s">
        <v>70</v>
      </c>
      <c r="J125" s="6"/>
      <c r="K125" s="6" t="s">
        <v>600</v>
      </c>
      <c r="L125" s="6" t="s">
        <v>70</v>
      </c>
      <c r="M125" s="6" t="s">
        <v>401</v>
      </c>
      <c r="N125" s="13">
        <v>27050</v>
      </c>
    </row>
    <row r="126" s="2" customFormat="1" spans="1:14">
      <c r="A126" s="6" t="s">
        <v>601</v>
      </c>
      <c r="B126" s="6" t="s">
        <v>601</v>
      </c>
      <c r="C126" s="6"/>
      <c r="D126" s="6" t="s">
        <v>602</v>
      </c>
      <c r="E126" s="6" t="s">
        <v>602</v>
      </c>
      <c r="F126" s="6"/>
      <c r="G126" s="6"/>
      <c r="H126" s="13" t="s">
        <v>603</v>
      </c>
      <c r="I126" s="6" t="s">
        <v>70</v>
      </c>
      <c r="J126" s="6"/>
      <c r="K126" s="6" t="s">
        <v>604</v>
      </c>
      <c r="L126" s="6" t="s">
        <v>70</v>
      </c>
      <c r="M126" s="6" t="s">
        <v>401</v>
      </c>
      <c r="N126" s="13">
        <v>41057</v>
      </c>
    </row>
    <row r="127" s="2" customFormat="1" spans="1:14">
      <c r="A127" s="6" t="s">
        <v>605</v>
      </c>
      <c r="B127" s="6" t="s">
        <v>605</v>
      </c>
      <c r="C127" s="6" t="s">
        <v>605</v>
      </c>
      <c r="D127" s="6" t="s">
        <v>606</v>
      </c>
      <c r="E127" s="6" t="s">
        <v>606</v>
      </c>
      <c r="F127" s="6"/>
      <c r="G127" s="6"/>
      <c r="H127" s="13" t="s">
        <v>603</v>
      </c>
      <c r="I127" s="6" t="s">
        <v>70</v>
      </c>
      <c r="J127" s="6"/>
      <c r="K127" s="6" t="s">
        <v>604</v>
      </c>
      <c r="L127" s="6" t="s">
        <v>70</v>
      </c>
      <c r="M127" s="6" t="s">
        <v>401</v>
      </c>
      <c r="N127" s="13">
        <v>41057</v>
      </c>
    </row>
    <row r="128" s="2" customFormat="1" spans="1:14">
      <c r="A128" s="6" t="s">
        <v>607</v>
      </c>
      <c r="B128" s="6" t="s">
        <v>607</v>
      </c>
      <c r="C128" s="6" t="s">
        <v>607</v>
      </c>
      <c r="D128" s="6" t="s">
        <v>608</v>
      </c>
      <c r="E128" s="6" t="s">
        <v>608</v>
      </c>
      <c r="F128" s="6"/>
      <c r="G128" s="6"/>
      <c r="H128" s="13" t="s">
        <v>609</v>
      </c>
      <c r="I128" s="6" t="s">
        <v>70</v>
      </c>
      <c r="J128" s="6"/>
      <c r="K128" s="6" t="s">
        <v>610</v>
      </c>
      <c r="L128" s="6" t="s">
        <v>70</v>
      </c>
      <c r="M128" s="6" t="s">
        <v>208</v>
      </c>
      <c r="N128" s="13" t="s">
        <v>611</v>
      </c>
    </row>
    <row r="129" s="2" customFormat="1" spans="1:14">
      <c r="A129" s="6" t="s">
        <v>612</v>
      </c>
      <c r="B129" s="6" t="s">
        <v>612</v>
      </c>
      <c r="C129" s="6" t="s">
        <v>612</v>
      </c>
      <c r="D129" s="6" t="s">
        <v>613</v>
      </c>
      <c r="E129" s="6" t="s">
        <v>613</v>
      </c>
      <c r="F129" s="6"/>
      <c r="G129" s="6"/>
      <c r="H129" s="13" t="s">
        <v>609</v>
      </c>
      <c r="I129" s="6" t="s">
        <v>70</v>
      </c>
      <c r="J129" s="6"/>
      <c r="K129" s="6" t="s">
        <v>610</v>
      </c>
      <c r="L129" s="6" t="s">
        <v>256</v>
      </c>
      <c r="M129" s="6" t="s">
        <v>208</v>
      </c>
      <c r="N129" s="13" t="s">
        <v>611</v>
      </c>
    </row>
    <row r="130" s="2" customFormat="1" spans="1:14">
      <c r="A130" s="6" t="s">
        <v>614</v>
      </c>
      <c r="B130" s="6" t="s">
        <v>614</v>
      </c>
      <c r="C130" s="6"/>
      <c r="D130" s="6" t="s">
        <v>615</v>
      </c>
      <c r="E130" s="6" t="s">
        <v>615</v>
      </c>
      <c r="F130" s="6"/>
      <c r="G130" s="6"/>
      <c r="H130" s="13" t="s">
        <v>616</v>
      </c>
      <c r="I130" s="6" t="s">
        <v>70</v>
      </c>
      <c r="J130" s="6"/>
      <c r="K130" s="6" t="s">
        <v>617</v>
      </c>
      <c r="L130" s="6" t="s">
        <v>70</v>
      </c>
      <c r="M130" s="6" t="s">
        <v>170</v>
      </c>
      <c r="N130" s="13">
        <v>77550</v>
      </c>
    </row>
    <row r="131" s="2" customFormat="1" spans="1:14">
      <c r="A131" s="6"/>
      <c r="B131" s="6"/>
      <c r="C131" s="6"/>
      <c r="D131" s="6"/>
      <c r="E131" s="6"/>
      <c r="F131" s="6"/>
      <c r="G131" s="6"/>
      <c r="H131" s="13"/>
      <c r="I131" s="6"/>
      <c r="J131" s="6"/>
      <c r="K131" s="6"/>
      <c r="L131" s="6"/>
      <c r="M131" s="6"/>
      <c r="N131" s="13"/>
    </row>
    <row r="132" s="2" customFormat="1" spans="1:14">
      <c r="A132" s="2" t="s">
        <v>70</v>
      </c>
      <c r="B132" s="2" t="s">
        <v>70</v>
      </c>
      <c r="C132" s="2" t="s">
        <v>70</v>
      </c>
      <c r="D132" s="2" t="s">
        <v>70</v>
      </c>
      <c r="E132" s="2" t="s">
        <v>70</v>
      </c>
      <c r="F132" s="2" t="s">
        <v>70</v>
      </c>
      <c r="G132" s="2" t="s">
        <v>70</v>
      </c>
      <c r="H132" s="2" t="s">
        <v>70</v>
      </c>
      <c r="I132" s="5" t="s">
        <v>70</v>
      </c>
      <c r="J132" s="5" t="s">
        <v>70</v>
      </c>
      <c r="K132" s="2" t="s">
        <v>70</v>
      </c>
      <c r="L132" s="5" t="s">
        <v>70</v>
      </c>
      <c r="M132" s="2" t="s">
        <v>70</v>
      </c>
      <c r="N132" s="2" t="s">
        <v>70</v>
      </c>
    </row>
  </sheetData>
  <autoFilter ref="E1:N132">
    <extLst/>
  </autoFilter>
  <conditionalFormatting sqref="A1 A132:A65536">
    <cfRule type="duplicateValues" dxfId="0" priority="2"/>
  </conditionalFormatting>
  <conditionalFormatting sqref="B132:H132 K132 M132:N132">
    <cfRule type="duplicateValues" dxfId="0" priority="1"/>
  </conditionalFormatting>
  <pageMargins left="0.75" right="0.75" top="1" bottom="1" header="0.5" footer="0.5"/>
  <headerFooter/>
  <ignoredErrors>
    <ignoredError sqref="N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欧洲地址库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陈铭辉</cp:lastModifiedBy>
  <dcterms:created xsi:type="dcterms:W3CDTF">2006-09-17T00:00:00Z</dcterms:created>
  <dcterms:modified xsi:type="dcterms:W3CDTF">2025-04-27T15:11:17Z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229DC545717598EEF88F0D68D7202D10_43</vt:lpwstr>
  </property>
  <property fmtid="{D5CDD505-2E9C-101B-9397-08002B2CF9AE}" pid="3" name="KSOProductBuildVer">
    <vt:lpwstr>2052-6.5.2.8766</vt:lpwstr>
  </property>
  <property fmtid="{D5CDD505-2E9C-101B-9397-08002B2CF9AE}" pid="4" name="KSOReadingLayout">
    <vt:bool>true</vt:bool>
  </property>
</Properties>
</file>