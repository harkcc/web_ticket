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发票箱单" sheetId="1" r:id="rId1"/>
    <sheet name="走货线路名和申报币别要求-不能删" sheetId="2" r:id="rId2"/>
    <sheet name="填写范本" sheetId="3" r:id="rId3"/>
  </sheets>
  <externalReferences>
    <externalReference r:id="rId5"/>
  </externalReferences>
  <definedNames>
    <definedName name="走货线路名">'[1]走货线路名和申报币别要求-不能删'!$A$2:$A$100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A5C1A11F1BB441A59EB6EE37D5F16C4C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7846040" y="10274300"/>
          <a:ext cx="3200400" cy="152400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A6035D1C95664094990E968EF26336AB" descr="Picture"/>
        <xdr:cNvPicPr/>
      </xdr:nvPicPr>
      <xdr:blipFill>
        <a:blip r:embed="rId3" cstate="print"/>
        <a:stretch>
          <a:fillRect/>
        </a:stretch>
      </xdr:blipFill>
      <xdr:spPr>
        <a:xfrm>
          <a:off x="17846040" y="12232640"/>
          <a:ext cx="8039100" cy="7839075"/>
        </a:xfrm>
        <a:prstGeom prst="rect">
          <a:avLst/>
        </a:prstGeom>
      </xdr:spPr>
    </xdr:pic>
  </etc:cellImage>
  <etc:cellImage>
    <xdr:pic>
      <xdr:nvPicPr>
        <xdr:cNvPr id="3" name="ID_AD55DD1097154FB4A7423DCF4941A189" descr="Picture"/>
        <xdr:cNvPicPr/>
      </xdr:nvPicPr>
      <xdr:blipFill>
        <a:blip r:embed="rId4" cstate="print"/>
        <a:stretch>
          <a:fillRect/>
        </a:stretch>
      </xdr:blipFill>
      <xdr:spPr>
        <a:xfrm>
          <a:off x="17846040" y="11253470"/>
          <a:ext cx="4133850" cy="456247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Administrator</author>
    <author>li'son</author>
    <author>Stone CL.</author>
    <author>CL.Stone</author>
  </authors>
  <commentList>
    <comment ref="A1" authorId="0">
      <text>
        <r>
          <rPr>
            <b/>
            <sz val="12"/>
            <rFont val="宋体"/>
            <charset val="134"/>
          </rPr>
          <t xml:space="preserve">1.FBA货物默认单号
2.合并出运填写贵司内部订单号（需系统下单）
</t>
        </r>
      </text>
    </comment>
    <comment ref="A2" authorId="1">
      <text>
        <r>
          <rPr>
            <b/>
            <sz val="12"/>
            <rFont val="宋体"/>
            <charset val="134"/>
          </rPr>
          <t xml:space="preserve">厦门发货填写厦门仓
泉州发货选择泉州仓
福州发货选择福州仓
莆田发货选择莆田仓
</t>
        </r>
      </text>
    </comment>
    <comment ref="A3" authorId="0">
      <text>
        <r>
          <rPr>
            <b/>
            <sz val="12"/>
            <rFont val="宋体"/>
            <charset val="134"/>
          </rPr>
          <t xml:space="preserve">开户账号 
如没有可联系客服或者查看对接群KY 开头
</t>
        </r>
      </text>
    </comment>
    <comment ref="C3" authorId="0">
      <text>
        <r>
          <rPr>
            <b/>
            <sz val="12"/>
            <rFont val="宋体"/>
            <charset val="134"/>
          </rPr>
          <t xml:space="preserve">包税；包税渠道选择！
自税：日本空运/海运自税渠道选择！
递延PVA：英国/欧洲自税递延渠道选择！
合并清关：英国/欧洲自税递延,相同税号可以选择合并清关！
关税到付：商业地址关税到付选择！
</t>
        </r>
      </text>
    </comment>
    <comment ref="A4" authorId="0">
      <text>
        <r>
          <rPr>
            <b/>
            <sz val="12"/>
            <rFont val="宋体"/>
            <charset val="134"/>
          </rPr>
          <t>可以根据出货渠道选择 或者直接输入美森 美国 等关键词选择</t>
        </r>
      </text>
    </comment>
    <comment ref="A5" authorId="0">
      <text>
        <r>
          <rPr>
            <b/>
            <sz val="12"/>
            <rFont val="宋体"/>
            <charset val="134"/>
          </rPr>
          <t xml:space="preserve">买单报关：一般是不具备出口权，不具备出口退税的条件，不需要国内退税的企业
单独报关：国内需要退税的企业，需要提供报关资料（包含报关单 发票委托书 装箱单 申报要素等   
合并单独报关:多票合并报关选择
部分单独报关：一票货中只需要部分报关选择
</t>
        </r>
      </text>
    </comment>
    <comment ref="A6" authorId="0">
      <text>
        <r>
          <rPr>
            <b/>
            <sz val="12"/>
            <rFont val="宋体"/>
            <charset val="134"/>
          </rPr>
          <t xml:space="preserve">直接填写国家！（中文）美国/英国
</t>
        </r>
      </text>
    </comment>
    <comment ref="C6" authorId="0">
      <text>
        <r>
          <rPr>
            <sz val="12"/>
            <rFont val="宋体"/>
            <charset val="134"/>
          </rPr>
          <t>欧洲、英国自税渠道选填 ！！！
日本渠道自有进口商 必填！！！</t>
        </r>
      </text>
    </comment>
    <comment ref="C7" authorId="0">
      <text>
        <r>
          <rPr>
            <sz val="12"/>
            <rFont val="宋体"/>
            <charset val="134"/>
          </rPr>
          <t>欧洲、英国自税渠道选填 ！！！
日本渠道自有进口商 必填！！！</t>
        </r>
        <r>
          <rPr>
            <sz val="9"/>
            <rFont val="宋体"/>
            <charset val="134"/>
          </rPr>
          <t xml:space="preserve">
</t>
        </r>
      </text>
    </comment>
    <comment ref="A8" authorId="0">
      <text>
        <r>
          <rPr>
            <b/>
            <sz val="12"/>
            <rFont val="宋体"/>
            <charset val="134"/>
          </rPr>
          <t xml:space="preserve">如果是亚马逊地址，必填亚马逊仓库代码；
如果不是亚马逊地址，可不填
</t>
        </r>
      </text>
    </comment>
    <comment ref="B8" authorId="0">
      <text>
        <r>
          <rPr>
            <b/>
            <sz val="12"/>
            <rFont val="宋体"/>
            <charset val="134"/>
          </rPr>
          <t>如果是亚马逊地址，必填亚马逊仓库代码；
如果是非亚马逊地址，可不填</t>
        </r>
      </text>
    </comment>
    <comment ref="C8" authorId="0">
      <text>
        <r>
          <rPr>
            <sz val="12"/>
            <rFont val="宋体"/>
            <charset val="134"/>
          </rPr>
          <t xml:space="preserve">自用VAT清关必填
</t>
        </r>
      </text>
    </comment>
    <comment ref="C9" authorId="0">
      <text>
        <r>
          <rPr>
            <sz val="12"/>
            <rFont val="宋体"/>
            <charset val="134"/>
          </rPr>
          <t xml:space="preserve">自用VAT清关必填
</t>
        </r>
      </text>
    </comment>
    <comment ref="A11" authorId="0">
      <text>
        <r>
          <rPr>
            <b/>
            <sz val="12"/>
            <rFont val="宋体"/>
            <charset val="134"/>
          </rPr>
          <t xml:space="preserve">亚马逊地址可不填
非亚马逊地址必填！！！
</t>
        </r>
      </text>
    </comment>
    <comment ref="A17" authorId="2">
      <text>
        <r>
          <rPr>
            <b/>
            <sz val="12"/>
            <rFont val="宋体"/>
            <charset val="134"/>
          </rPr>
          <t>填外箱的FBA子单号（必须是19位）
按箱填写！
一箱货有多个产品，箱号重复填写即可
非亚马逊地址本身没箱号的 ，可以直接写箱号，如1，2，3……
不允许合并！！！不允许有回车！！</t>
        </r>
      </text>
    </comment>
    <comment ref="B17" authorId="0">
      <text>
        <r>
          <rPr>
            <b/>
            <sz val="12"/>
            <rFont val="宋体"/>
            <charset val="134"/>
          </rPr>
          <t>8位数的追踪编码</t>
        </r>
      </text>
    </comment>
    <comment ref="D17" authorId="2">
      <text>
        <r>
          <rPr>
            <b/>
            <sz val="12"/>
            <rFont val="宋体"/>
            <charset val="134"/>
          </rPr>
          <t xml:space="preserve">1.货物描述，相对精准的描述。
2.鞋类产品需要提供鞋面材质+鞋底材质   
3，纺织类，服装类产品需要提供成分说明（水洗标一致） 95% cotton + 5% spandex    </t>
        </r>
      </text>
    </comment>
    <comment ref="H17" authorId="0">
      <text>
        <r>
          <rPr>
            <b/>
            <sz val="11"/>
            <rFont val="宋体"/>
            <charset val="134"/>
          </rPr>
          <t>产品大类：带电,带磁,纺织品等,普货直接输入普货两个字即可
注意:多个类型注意用英文逗号隔开</t>
        </r>
        <r>
          <rPr>
            <sz val="9"/>
            <rFont val="宋体"/>
            <charset val="134"/>
          </rPr>
          <t xml:space="preserve">
</t>
        </r>
      </text>
    </comment>
    <comment ref="I17" authorId="0">
      <text>
        <r>
          <rPr>
            <sz val="12"/>
            <rFont val="宋体"/>
            <charset val="134"/>
          </rPr>
          <t>切记！一定是单箱的产品数量！！！！！！
不管任何情况下，这里都是填写单箱的产品数量！</t>
        </r>
      </text>
    </comment>
    <comment ref="J17" authorId="2">
      <text>
        <r>
          <rPr>
            <sz val="16"/>
            <rFont val="宋体"/>
            <charset val="134"/>
          </rPr>
          <t xml:space="preserve">
填货物的单位CTN，即货物的箱数
有多少箱就填多少箱，如果是混装产品对应箱数都写1
不得合并单元格！
</t>
        </r>
      </text>
    </comment>
    <comment ref="K17" authorId="0">
      <text>
        <r>
          <rPr>
            <sz val="16"/>
            <rFont val="宋体"/>
            <charset val="134"/>
          </rPr>
          <t xml:space="preserve">英国（英镑GBP）
欧洲（欧元EUR）
美国、日本、加拿大、其他国家（美金USD）
</t>
        </r>
      </text>
    </comment>
    <comment ref="L17" authorId="0">
      <text>
        <r>
          <rPr>
            <sz val="12"/>
            <rFont val="宋体"/>
            <charset val="134"/>
          </rPr>
          <t>必填</t>
        </r>
      </text>
    </comment>
    <comment ref="M17" authorId="0">
      <text>
        <r>
          <rPr>
            <sz val="9"/>
            <rFont val="宋体"/>
            <charset val="134"/>
          </rPr>
          <t>必须填写纯数字 不得有其他字符</t>
        </r>
      </text>
    </comment>
    <comment ref="N17" authorId="3">
      <text>
        <r>
          <rPr>
            <sz val="9"/>
            <rFont val="宋体"/>
            <charset val="134"/>
          </rPr>
          <t>货物的高清图片</t>
        </r>
      </text>
    </comment>
    <comment ref="R17" authorId="0">
      <text>
        <r>
          <rPr>
            <sz val="12"/>
            <rFont val="宋体"/>
            <charset val="134"/>
          </rPr>
          <t>【必填】报价表上有要求提供销售链接的渠道</t>
        </r>
      </text>
    </comment>
    <comment ref="S1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更多其他需要说明的问题 
</t>
        </r>
      </text>
    </comment>
    <comment ref="A18" authorId="0">
      <text>
        <r>
          <rPr>
            <sz val="10"/>
            <rFont val="宋体"/>
            <charset val="134"/>
          </rPr>
          <t>Administrator:
混装 箱号一样即可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9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0830修改</t>
        </r>
      </text>
    </comment>
    <comment ref="B1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0830修改</t>
        </r>
      </text>
    </comment>
  </commentList>
</comments>
</file>

<file path=xl/sharedStrings.xml><?xml version="1.0" encoding="utf-8"?>
<sst xmlns="http://schemas.openxmlformats.org/spreadsheetml/2006/main" count="277" uniqueCount="241">
  <si>
    <t>运单号：（必填,可填FBA单号）</t>
  </si>
  <si>
    <t>FBA199RRHYJ6</t>
  </si>
  <si>
    <t>FBA单号：(必填)</t>
  </si>
  <si>
    <t>务必填写规范：(只做内容填充，不允许调整格式，不允许合并单元格，填写内容不允许有空格)</t>
  </si>
  <si>
    <t>交货仓库：（必填）</t>
  </si>
  <si>
    <t>福州仓</t>
  </si>
  <si>
    <t>是否购买上架保险 （必填）：</t>
  </si>
  <si>
    <t>否</t>
  </si>
  <si>
    <t xml:space="preserve">注意：表格中蓝色内容为必填项，黄色内容为选填项      </t>
  </si>
  <si>
    <t>交货客户代号：（必填）</t>
  </si>
  <si>
    <t>KY07311</t>
  </si>
  <si>
    <t>清关方式（必填）：</t>
  </si>
  <si>
    <t>包税</t>
  </si>
  <si>
    <t>备注：</t>
  </si>
  <si>
    <t>走货线路：（必填）</t>
  </si>
  <si>
    <t>美国准时达空快包税</t>
  </si>
  <si>
    <t>发件人公司（英文）：</t>
  </si>
  <si>
    <t xml:space="preserve">1，成套的产品需注明单套包含的件数以及品名请填写到S18栏备注      </t>
  </si>
  <si>
    <t>报关方式：（必填）</t>
  </si>
  <si>
    <t>单独报关</t>
  </si>
  <si>
    <t>发件人地址（英文）：</t>
  </si>
  <si>
    <t xml:space="preserve">2，鞋类产品需要提供鞋面材质+鞋底材质     </t>
  </si>
  <si>
    <t>目的地/国家：（中文必填）</t>
  </si>
  <si>
    <t>美国</t>
  </si>
  <si>
    <t>VAT和EORI注册公司（进口商）：</t>
  </si>
  <si>
    <t xml:space="preserve">3，纺织类，服装类产品需要提供成分说明（水洗标一致） 95% cotton + 5% spandex     </t>
  </si>
  <si>
    <t>地址类型*（必填）</t>
  </si>
  <si>
    <t>亚马逊地址</t>
  </si>
  <si>
    <t>VAT和EORI注册地址（进口商）：</t>
  </si>
  <si>
    <t>4、垫子类、纸盒支架类需提供规格（如尺寸和高度），请填写到S18栏备注</t>
  </si>
  <si>
    <t>收货地址/亚马逊仓库代码*</t>
  </si>
  <si>
    <t>TMB8</t>
  </si>
  <si>
    <t>VAT号：*</t>
  </si>
  <si>
    <t xml:space="preserve">5、申报币种必须匹配：英国（英镑GBP），欧洲（欧元EUR），美国、日本、加拿大、其他国家（美金USD）-也可参考表格2     </t>
  </si>
  <si>
    <t>收件公司（商业地址必填）：</t>
  </si>
  <si>
    <t>EORI号：*</t>
  </si>
  <si>
    <t xml:space="preserve">6、一箱货有多个产品，箱号重复填写即可 </t>
  </si>
  <si>
    <t>收件人（商业地址必填） ：</t>
  </si>
  <si>
    <t>VAT公司联系人：</t>
  </si>
  <si>
    <t>7、如</t>
  </si>
  <si>
    <t>联系电话 （商业地址必填）：</t>
  </si>
  <si>
    <t>VAT公司电话：</t>
  </si>
  <si>
    <t>收件邮编（商业地址必填）：</t>
  </si>
  <si>
    <t>如有合并清关或者合并报关，需要明确哪几票合并然后填写</t>
  </si>
  <si>
    <t>省份/州（商业地址必填）：</t>
  </si>
  <si>
    <t>城市（商业地址必填）：</t>
  </si>
  <si>
    <t>收件地址（商业地址必填）：</t>
  </si>
  <si>
    <t>总件数（必填）</t>
  </si>
  <si>
    <t>不得删除！</t>
  </si>
  <si>
    <t>亚马逊FBA子单号/箱唛号（必填）（FBA号正确19位）</t>
  </si>
  <si>
    <t>Reference ID（亚马逊追踪编码）</t>
  </si>
  <si>
    <t>中文品名（必填）</t>
  </si>
  <si>
    <t>英文品名（必填）</t>
  </si>
  <si>
    <t>材质（中英文填写）（必填）</t>
  </si>
  <si>
    <t>用途（中英文填写）（必填）</t>
  </si>
  <si>
    <t>国外海关编码（必填）</t>
  </si>
  <si>
    <t>产品类型/属性</t>
  </si>
  <si>
    <r>
      <rPr>
        <sz val="16"/>
        <rFont val="微软雅黑"/>
        <charset val="134"/>
      </rPr>
      <t>单箱</t>
    </r>
    <r>
      <rPr>
        <b/>
        <sz val="11"/>
        <color rgb="FF000000"/>
        <rFont val="微软雅黑"/>
        <charset val="134"/>
      </rPr>
      <t>产品数量PCS（必填）</t>
    </r>
  </si>
  <si>
    <t>箱数/件数CTN（必填）</t>
  </si>
  <si>
    <t>申报单价币种（必填）</t>
  </si>
  <si>
    <t>单个产品申报单价</t>
  </si>
  <si>
    <t>单个产品净重KG(必填)</t>
  </si>
  <si>
    <r>
      <rPr>
        <b/>
        <sz val="11"/>
        <color rgb="FF000000"/>
        <rFont val="微软雅黑"/>
        <charset val="134"/>
      </rPr>
      <t>产品高清图片                       （</t>
    </r>
    <r>
      <rPr>
        <sz val="11"/>
        <color rgb="FFFF0000"/>
        <rFont val="微软雅黑"/>
        <charset val="134"/>
      </rPr>
      <t>必须缩在方框内</t>
    </r>
    <r>
      <rPr>
        <sz val="11"/>
        <color rgb="FF000000"/>
        <rFont val="微软雅黑"/>
        <charset val="134"/>
      </rPr>
      <t>）</t>
    </r>
  </si>
  <si>
    <r>
      <rPr>
        <b/>
        <sz val="11"/>
        <color rgb="FF000000"/>
        <rFont val="微软雅黑"/>
        <charset val="134"/>
      </rPr>
      <t xml:space="preserve">品牌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</si>
  <si>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品牌类型  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</si>
  <si>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型号            </t>
    </r>
    <r>
      <rPr>
        <b/>
        <sz val="11"/>
        <color rgb="FFFF0000"/>
        <rFont val="微软雅黑"/>
        <charset val="134"/>
      </rPr>
      <t>（如实申报）</t>
    </r>
  </si>
  <si>
    <r>
      <rPr>
        <b/>
        <sz val="11"/>
        <color rgb="FF000000"/>
        <rFont val="微软雅黑"/>
        <charset val="134"/>
      </rPr>
      <t xml:space="preserve">销售链接                                         </t>
    </r>
    <r>
      <rPr>
        <b/>
        <sz val="11"/>
        <color rgb="FFFF0000"/>
        <rFont val="微软雅黑"/>
        <charset val="134"/>
      </rPr>
      <t>（填写链接的前后不能有空格）</t>
    </r>
  </si>
  <si>
    <r>
      <rPr>
        <b/>
        <sz val="11"/>
        <color rgb="FF000000"/>
        <rFont val="微软雅黑"/>
        <charset val="134"/>
      </rPr>
      <t>备注</t>
    </r>
    <r>
      <rPr>
        <b/>
        <sz val="11"/>
        <color rgb="FFFF0000"/>
        <rFont val="微软雅黑"/>
        <charset val="134"/>
      </rPr>
      <t>（产品的其他特殊说明）</t>
    </r>
  </si>
  <si>
    <t xml:space="preserve">总产品数量            </t>
  </si>
  <si>
    <t xml:space="preserve">总申报金额            </t>
  </si>
  <si>
    <t>PO# DELIVERY WINDOW亚马逊预计送达时段亚马逊货物-卡派必填  举例：10.6-10.19</t>
  </si>
  <si>
    <t>实重</t>
  </si>
  <si>
    <t>长</t>
  </si>
  <si>
    <t>宽</t>
  </si>
  <si>
    <t>高</t>
  </si>
  <si>
    <t>FBA199RRHYJ6U000001</t>
  </si>
  <si>
    <t>6O511YPB</t>
  </si>
  <si>
    <t>袜套</t>
  </si>
  <si>
    <t>leg warmers</t>
  </si>
  <si>
    <t>polyester</t>
  </si>
  <si>
    <t>wearing</t>
  </si>
  <si>
    <t>6115940000</t>
  </si>
  <si>
    <t>普货</t>
  </si>
  <si>
    <t>1</t>
  </si>
  <si>
    <t>USD</t>
  </si>
  <si>
    <t>无</t>
  </si>
  <si>
    <t>12.9</t>
  </si>
  <si>
    <t>53</t>
  </si>
  <si>
    <t>33</t>
  </si>
  <si>
    <t>43</t>
  </si>
  <si>
    <t>压力袜</t>
  </si>
  <si>
    <t>compression socks</t>
  </si>
  <si>
    <t>nylon</t>
  </si>
  <si>
    <t>6115299000</t>
  </si>
  <si>
    <t>FBA199RRHYJ6U000002</t>
  </si>
  <si>
    <t>14.25</t>
  </si>
  <si>
    <t>走货渠道</t>
  </si>
  <si>
    <t>申报币种</t>
  </si>
  <si>
    <t>线路</t>
  </si>
  <si>
    <t>美金</t>
  </si>
  <si>
    <t>美加线</t>
  </si>
  <si>
    <t>美国准时达商私地址空快包税</t>
  </si>
  <si>
    <t>TH美国准时达空快包税</t>
  </si>
  <si>
    <t>美国限时达空快包税</t>
  </si>
  <si>
    <t>美国限时达商私地址空快包税</t>
  </si>
  <si>
    <t>美国空派小货双清包税</t>
  </si>
  <si>
    <t>洛杉矶空卡包税</t>
  </si>
  <si>
    <t>加拿大空快包税</t>
  </si>
  <si>
    <t>TH加拿大空快包税</t>
  </si>
  <si>
    <t>美森限时达海快包税</t>
  </si>
  <si>
    <t>美森限时达商私地址海快包税</t>
  </si>
  <si>
    <t>美森加班商私地址海快包税</t>
  </si>
  <si>
    <t>美森正班海快包税</t>
  </si>
  <si>
    <t>美森正班商私地址海快包税</t>
  </si>
  <si>
    <t>美森加班海快包税</t>
  </si>
  <si>
    <t>美森加班卡派包税</t>
  </si>
  <si>
    <t>美森正班卡派包税</t>
  </si>
  <si>
    <t>美森正班卡车包税(方计费)</t>
  </si>
  <si>
    <t>加拿大海运限时达包税</t>
  </si>
  <si>
    <t>加拿大海运快限达包税</t>
  </si>
  <si>
    <t>加拿大海运快限达卡派包税</t>
  </si>
  <si>
    <t>美国海运快限达卡派包税</t>
  </si>
  <si>
    <t>美中海运快限达卡派包税</t>
  </si>
  <si>
    <t>美东海运快限达卡派包税</t>
  </si>
  <si>
    <t>加拿大海运普船海快包税</t>
  </si>
  <si>
    <t>加拿大海运普船卡派包税</t>
  </si>
  <si>
    <t>美西海运快限达海快包税</t>
  </si>
  <si>
    <t>美西海运快限达商私地址海快包税</t>
  </si>
  <si>
    <t>美西普船海快包税</t>
  </si>
  <si>
    <t>美西普船商私地址海快包税</t>
  </si>
  <si>
    <t>美西普船卡派无忧包税</t>
  </si>
  <si>
    <t>美国普船卡派无忧(方计费)</t>
  </si>
  <si>
    <t>美中普船卡派无忧包税</t>
  </si>
  <si>
    <t>美国普船整柜直送价格</t>
  </si>
  <si>
    <t>美东全水路快限达海快包税</t>
  </si>
  <si>
    <t>美东全水路卡派无忧包税</t>
  </si>
  <si>
    <t>美东全水路卡派无忧包税(方计费)</t>
  </si>
  <si>
    <t>亚利桑那州专线</t>
  </si>
  <si>
    <t>美国AGL普船包税</t>
  </si>
  <si>
    <t>美森中东海快包税</t>
  </si>
  <si>
    <t>普船大件货锁仓卡派无忧</t>
  </si>
  <si>
    <t>墨西哥空快包税</t>
  </si>
  <si>
    <t>美国食品化妆品海快含税</t>
  </si>
  <si>
    <t>以星ZEX电商快线海快包税</t>
  </si>
  <si>
    <t>以星ZEX电商快线海卡包税</t>
  </si>
  <si>
    <t>日本空快不包税</t>
  </si>
  <si>
    <t>日本线</t>
  </si>
  <si>
    <t>日本空快特价不包税</t>
  </si>
  <si>
    <t>TH日本空快特价不包税</t>
  </si>
  <si>
    <t>日本空快包税</t>
  </si>
  <si>
    <t>日本空快包税专线特价</t>
  </si>
  <si>
    <t>TH日本空快包税专线特价</t>
  </si>
  <si>
    <t>日本海运包税</t>
  </si>
  <si>
    <t>日本佐川特价专线</t>
  </si>
  <si>
    <t>日本佐川专线</t>
  </si>
  <si>
    <t>英国空快不包税PVA</t>
  </si>
  <si>
    <t>英镑</t>
  </si>
  <si>
    <t>英国线</t>
  </si>
  <si>
    <t>英国空快包税</t>
  </si>
  <si>
    <t>英国海快不包税PVA</t>
  </si>
  <si>
    <t>英国海快包税</t>
  </si>
  <si>
    <t>英国海卡不包税PVA</t>
  </si>
  <si>
    <t>英国海卡不包税PVA(KG计费)</t>
  </si>
  <si>
    <t>英国空快不包税</t>
  </si>
  <si>
    <t>英国空卡不包税PVA</t>
  </si>
  <si>
    <t>TH英国空派不包税PVA</t>
  </si>
  <si>
    <t>TH英国空快不包税</t>
  </si>
  <si>
    <t>TH英国空快包税</t>
  </si>
  <si>
    <t>CQ英国空快包税</t>
  </si>
  <si>
    <t>英国空卡包税</t>
  </si>
  <si>
    <t>英国海快不包税</t>
  </si>
  <si>
    <t>英国海卡包税(KG计费)</t>
  </si>
  <si>
    <t>英国海卡包税</t>
  </si>
  <si>
    <t>英国海卡不包税</t>
  </si>
  <si>
    <t>中英卡航快递不包税PVA</t>
  </si>
  <si>
    <t>中英卡航卡派不包税PVA</t>
  </si>
  <si>
    <t>中英卡航不包税</t>
  </si>
  <si>
    <t>中英卡航快递包税</t>
  </si>
  <si>
    <t>中英卡航卡派包税</t>
  </si>
  <si>
    <t>欧洲空快不包税VAT递延</t>
  </si>
  <si>
    <t>欧元</t>
  </si>
  <si>
    <t>欧洲线</t>
  </si>
  <si>
    <t>TH欧洲空派不包税VAT递延</t>
  </si>
  <si>
    <t>欧洲空快包税自主VAT递延</t>
  </si>
  <si>
    <t>欧洲空快包税</t>
  </si>
  <si>
    <t>TH欧洲空快包税</t>
  </si>
  <si>
    <t>中欧卡航快递不包税VAT递延</t>
  </si>
  <si>
    <t>中欧卡航卡派不包税VAT递延</t>
  </si>
  <si>
    <t>中欧卡航快递包税</t>
  </si>
  <si>
    <t>中欧卡航卡派包税</t>
  </si>
  <si>
    <t>欧洲海快不包税VAT递延</t>
  </si>
  <si>
    <t>欧洲海卡不包税(KG计费)</t>
  </si>
  <si>
    <t>欧洲海卡不包税(CBM计费)</t>
  </si>
  <si>
    <t>欧洲海快包税</t>
  </si>
  <si>
    <t>欧洲海卡包税(KG计费)</t>
  </si>
  <si>
    <t>欧洲海卡包税(CBM计费)</t>
  </si>
  <si>
    <t>中欧铁卡包税</t>
  </si>
  <si>
    <t>中欧铁路包税</t>
  </si>
  <si>
    <t>中欧铁路不包税VAT递延</t>
  </si>
  <si>
    <t>UPS</t>
  </si>
  <si>
    <t>商业快递</t>
  </si>
  <si>
    <t>UPS/6000</t>
  </si>
  <si>
    <t>UPS/6000特快</t>
  </si>
  <si>
    <t>UPS特快</t>
  </si>
  <si>
    <t>DHL</t>
  </si>
  <si>
    <t>FedExIP</t>
  </si>
  <si>
    <t>FedExIE</t>
  </si>
  <si>
    <t>澳洲空快包税</t>
  </si>
  <si>
    <t>澳洲空快不包税</t>
  </si>
  <si>
    <t>TH澳洲空快包税</t>
  </si>
  <si>
    <t>TH澳洲空快不包税</t>
  </si>
  <si>
    <t>CQ澳洲空快不包税</t>
  </si>
  <si>
    <t>澳洲海快包税</t>
  </si>
  <si>
    <t>澳洲海快不包税</t>
  </si>
  <si>
    <t>新加坡空快专线不包税</t>
  </si>
  <si>
    <t>澳洲海卡不包税</t>
  </si>
  <si>
    <t>澳洲海卡包税</t>
  </si>
  <si>
    <t>DPD</t>
  </si>
  <si>
    <t>中东专线</t>
  </si>
  <si>
    <t>八闽通中澳小货空派专线</t>
  </si>
  <si>
    <t>八闽通中英小货空派专线</t>
  </si>
  <si>
    <t>台湾专线</t>
  </si>
  <si>
    <t>东南亚专线</t>
  </si>
  <si>
    <t>菲律宾空派专线包税特货</t>
  </si>
  <si>
    <t>菲律宾空派专线包税普货</t>
  </si>
  <si>
    <t>AHC海外仓</t>
  </si>
  <si>
    <t>DPD快递包税专线</t>
  </si>
  <si>
    <t>DPD-HOME_O</t>
  </si>
  <si>
    <t>COSCO</t>
  </si>
  <si>
    <t>渠道未确认（无人认领）</t>
  </si>
  <si>
    <t>AHC国内仓</t>
  </si>
  <si>
    <t>美国空快不包税</t>
  </si>
  <si>
    <t>新增渠道</t>
  </si>
  <si>
    <t>美国空卡包税</t>
  </si>
  <si>
    <t>香港UPS</t>
  </si>
  <si>
    <t>英国空快经济不包税</t>
  </si>
  <si>
    <t>墨西哥海运包税</t>
  </si>
  <si>
    <t>加拿大空快不包税</t>
  </si>
  <si>
    <t>加拿大海卡不包税</t>
  </si>
  <si>
    <t>日本海快不包税</t>
  </si>
  <si>
    <t>日本海卡不包税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</si>
</sst>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3">
    <font>
      <sz val="11"/>
      <name val="宋体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indexed="8"/>
      <name val="微软雅黑"/>
      <charset val="134"/>
    </font>
    <font>
      <b/>
      <sz val="12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2"/>
      <color rgb="FF000000"/>
      <name val="微软雅黑"/>
      <charset val="134"/>
    </font>
    <font>
      <b/>
      <sz val="14"/>
      <name val="微软雅黑"/>
      <charset val="134"/>
    </font>
    <font>
      <b/>
      <sz val="11"/>
      <color rgb="FFFF0000"/>
      <name val="微软雅黑"/>
      <charset val="134"/>
    </font>
    <font>
      <b/>
      <sz val="16"/>
      <name val="微软雅黑"/>
      <charset val="134"/>
    </font>
    <font>
      <b/>
      <sz val="14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1"/>
      <name val="微软雅黑"/>
      <charset val="134"/>
    </font>
    <font>
      <b/>
      <sz val="11"/>
      <color indexed="8"/>
      <name val="微软雅黑"/>
      <charset val="134"/>
    </font>
    <font>
      <sz val="10"/>
      <name val="微软雅黑"/>
      <charset val="134"/>
    </font>
    <font>
      <sz val="12"/>
      <color rgb="FF000000"/>
      <name val="微软雅黑"/>
      <charset val="134"/>
    </font>
    <font>
      <b/>
      <sz val="26"/>
      <color theme="1"/>
      <name val="微软雅黑"/>
      <charset val="134"/>
    </font>
    <font>
      <b/>
      <sz val="16"/>
      <color rgb="FFFF0000"/>
      <name val="微软雅黑"/>
      <charset val="134"/>
    </font>
    <font>
      <sz val="16"/>
      <name val="微软雅黑"/>
      <charset val="134"/>
    </font>
    <font>
      <b/>
      <sz val="10"/>
      <name val="微软雅黑"/>
      <charset val="134"/>
    </font>
    <font>
      <sz val="12"/>
      <name val="Arial"/>
      <charset val="134"/>
    </font>
    <font>
      <sz val="2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1"/>
      <name val="宋体"/>
      <charset val="134"/>
    </font>
    <font>
      <sz val="16"/>
      <name val="宋体"/>
      <charset val="134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" fillId="8" borderId="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7" applyNumberFormat="0" applyFill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9" applyNumberFormat="0" applyAlignment="0" applyProtection="0">
      <alignment vertical="center"/>
    </xf>
    <xf numFmtId="0" fontId="35" fillId="10" borderId="10" applyNumberFormat="0" applyAlignment="0" applyProtection="0">
      <alignment vertical="center"/>
    </xf>
    <xf numFmtId="0" fontId="36" fillId="10" borderId="9" applyNumberFormat="0" applyAlignment="0" applyProtection="0">
      <alignment vertical="center"/>
    </xf>
    <xf numFmtId="0" fontId="37" fillId="11" borderId="11" applyNumberFormat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/>
      <protection locked="0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8" fillId="0" borderId="0" xfId="0" applyFont="1" applyFill="1" applyBorder="1" applyAlignment="1" applyProtection="1">
      <alignment horizontal="left" vertical="center" wrapText="1"/>
      <protection locked="0"/>
    </xf>
    <xf numFmtId="0" fontId="6" fillId="0" borderId="0" xfId="0" applyFont="1" applyBorder="1" applyAlignment="1">
      <alignment horizontal="left" vertical="center"/>
    </xf>
    <xf numFmtId="0" fontId="6" fillId="0" borderId="0" xfId="0" applyFont="1" applyFill="1" applyBorder="1" applyAlignment="1" applyProtection="1">
      <alignment horizontal="left" vertical="center" wrapText="1"/>
      <protection locked="0"/>
    </xf>
    <xf numFmtId="0" fontId="6" fillId="0" borderId="0" xfId="0" applyNumberFormat="1" applyFont="1" applyFill="1" applyBorder="1" applyAlignment="1" applyProtection="1">
      <alignment horizontal="left" vertical="center" wrapText="1"/>
      <protection locked="0"/>
    </xf>
    <xf numFmtId="0" fontId="9" fillId="5" borderId="1" xfId="0" applyFont="1" applyFill="1" applyBorder="1" applyAlignment="1" applyProtection="1">
      <alignment horizontal="left" vertical="center"/>
    </xf>
    <xf numFmtId="0" fontId="9" fillId="0" borderId="1" xfId="0" applyNumberFormat="1" applyFont="1" applyFill="1" applyBorder="1" applyAlignment="1" applyProtection="1">
      <alignment horizontal="left" vertical="center"/>
      <protection locked="0"/>
    </xf>
    <xf numFmtId="0" fontId="9" fillId="6" borderId="1" xfId="0" applyNumberFormat="1" applyFont="1" applyFill="1" applyBorder="1" applyAlignment="1" applyProtection="1">
      <alignment horizontal="left" vertical="center"/>
      <protection locked="0"/>
    </xf>
    <xf numFmtId="0" fontId="10" fillId="7" borderId="5" xfId="0" applyFont="1" applyFill="1" applyBorder="1" applyAlignment="1" applyProtection="1">
      <alignment horizontal="center" vertical="center"/>
    </xf>
    <xf numFmtId="0" fontId="10" fillId="7" borderId="0" xfId="0" applyFont="1" applyFill="1" applyAlignment="1" applyProtection="1">
      <alignment horizontal="center" vertical="center"/>
    </xf>
    <xf numFmtId="0" fontId="11" fillId="0" borderId="0" xfId="0" applyFont="1" applyFill="1" applyBorder="1" applyAlignment="1" applyProtection="1">
      <alignment horizontal="left" vertical="center" wrapText="1"/>
    </xf>
    <xf numFmtId="49" fontId="9" fillId="0" borderId="1" xfId="0" applyNumberFormat="1" applyFont="1" applyFill="1" applyBorder="1" applyAlignment="1" applyProtection="1">
      <alignment horizontal="left" vertical="center"/>
      <protection locked="0"/>
    </xf>
    <xf numFmtId="0" fontId="9" fillId="0" borderId="1" xfId="0" applyFont="1" applyFill="1" applyBorder="1" applyAlignment="1" applyProtection="1">
      <alignment horizontal="left" vertical="center"/>
      <protection locked="0"/>
    </xf>
    <xf numFmtId="0" fontId="12" fillId="7" borderId="5" xfId="0" applyFont="1" applyFill="1" applyBorder="1" applyAlignment="1" applyProtection="1">
      <alignment horizontal="center" vertical="center" wrapText="1"/>
    </xf>
    <xf numFmtId="0" fontId="12" fillId="7" borderId="0" xfId="0" applyFont="1" applyFill="1" applyAlignment="1" applyProtection="1">
      <alignment horizontal="center" vertical="center" wrapText="1"/>
    </xf>
    <xf numFmtId="0" fontId="13" fillId="0" borderId="0" xfId="0" applyFont="1" applyFill="1" applyBorder="1" applyAlignment="1" applyProtection="1">
      <alignment horizontal="left" vertical="center"/>
    </xf>
    <xf numFmtId="0" fontId="13" fillId="0" borderId="0" xfId="0" applyFont="1" applyFill="1" applyBorder="1" applyAlignment="1" applyProtection="1">
      <alignment horizontal="left" vertical="center"/>
      <protection locked="0"/>
    </xf>
    <xf numFmtId="49" fontId="14" fillId="0" borderId="1" xfId="0" applyNumberFormat="1" applyFont="1" applyFill="1" applyBorder="1" applyAlignment="1">
      <alignment horizontal="left" vertical="center"/>
    </xf>
    <xf numFmtId="49" fontId="15" fillId="0" borderId="1" xfId="0" applyNumberFormat="1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 wrapText="1"/>
    </xf>
    <xf numFmtId="49" fontId="14" fillId="0" borderId="1" xfId="0" applyNumberFormat="1" applyFont="1" applyFill="1" applyBorder="1" applyAlignment="1">
      <alignment wrapText="1"/>
    </xf>
    <xf numFmtId="0" fontId="5" fillId="3" borderId="1" xfId="0" applyFont="1" applyFill="1" applyBorder="1" applyAlignment="1" applyProtection="1">
      <alignment horizontal="left" vertical="center" wrapText="1"/>
    </xf>
    <xf numFmtId="49" fontId="5" fillId="0" borderId="1" xfId="0" applyNumberFormat="1" applyFont="1" applyFill="1" applyBorder="1" applyAlignment="1" applyProtection="1">
      <alignment horizontal="left" vertical="center"/>
      <protection locked="0"/>
    </xf>
    <xf numFmtId="0" fontId="5" fillId="5" borderId="1" xfId="0" applyFont="1" applyFill="1" applyBorder="1" applyAlignment="1" applyProtection="1">
      <alignment horizontal="left" vertical="center"/>
    </xf>
    <xf numFmtId="0" fontId="9" fillId="3" borderId="1" xfId="0" applyFont="1" applyFill="1" applyBorder="1" applyAlignment="1" applyProtection="1">
      <alignment horizontal="left" vertical="center"/>
    </xf>
    <xf numFmtId="0" fontId="11" fillId="0" borderId="0" xfId="0" applyFont="1" applyFill="1" applyBorder="1" applyAlignment="1" applyProtection="1">
      <alignment horizontal="left" vertical="center" wrapText="1"/>
      <protection locked="0"/>
    </xf>
    <xf numFmtId="0" fontId="16" fillId="0" borderId="0" xfId="0" applyFont="1" applyFill="1" applyBorder="1" applyAlignment="1" applyProtection="1">
      <alignment horizontal="left" vertical="center"/>
      <protection locked="0"/>
    </xf>
    <xf numFmtId="49" fontId="14" fillId="0" borderId="1" xfId="0" applyNumberFormat="1" applyFont="1" applyFill="1" applyBorder="1" applyAlignment="1"/>
    <xf numFmtId="0" fontId="9" fillId="6" borderId="1" xfId="0" applyFont="1" applyFill="1" applyBorder="1" applyAlignment="1" applyProtection="1">
      <alignment horizontal="left" vertical="center"/>
    </xf>
    <xf numFmtId="49" fontId="17" fillId="0" borderId="1" xfId="0" applyNumberFormat="1" applyFont="1" applyFill="1" applyBorder="1" applyAlignment="1">
      <alignment horizontal="left" vertical="center"/>
    </xf>
    <xf numFmtId="0" fontId="18" fillId="0" borderId="0" xfId="0" applyFont="1" applyFill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left" vertical="center" wrapText="1"/>
      <protection locked="0"/>
    </xf>
    <xf numFmtId="0" fontId="19" fillId="6" borderId="1" xfId="0" applyFont="1" applyFill="1" applyBorder="1" applyAlignment="1" applyProtection="1">
      <alignment horizontal="left" vertical="center"/>
    </xf>
    <xf numFmtId="0" fontId="9" fillId="6" borderId="1" xfId="0" applyFont="1" applyFill="1" applyBorder="1" applyAlignment="1" applyProtection="1">
      <alignment horizontal="left" vertical="center"/>
      <protection locked="0"/>
    </xf>
    <xf numFmtId="0" fontId="11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49" fontId="14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20" fillId="0" borderId="1" xfId="0" applyNumberFormat="1" applyFont="1" applyFill="1" applyBorder="1" applyAlignment="1">
      <alignment horizontal="left" vertical="center"/>
    </xf>
    <xf numFmtId="0" fontId="19" fillId="0" borderId="0" xfId="0" applyFont="1" applyFill="1" applyBorder="1" applyAlignment="1" applyProtection="1">
      <alignment horizontal="left" vertical="center"/>
      <protection locked="0"/>
    </xf>
    <xf numFmtId="0" fontId="21" fillId="0" borderId="0" xfId="0" applyFont="1" applyFill="1" applyBorder="1" applyAlignment="1" applyProtection="1">
      <alignment horizontal="left" vertical="center"/>
      <protection locked="0"/>
    </xf>
    <xf numFmtId="0" fontId="7" fillId="5" borderId="2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22" fillId="5" borderId="2" xfId="0" applyFont="1" applyFill="1" applyBorder="1" applyAlignment="1" applyProtection="1">
      <alignment horizontal="left" vertical="center" wrapText="1"/>
    </xf>
    <xf numFmtId="0" fontId="16" fillId="5" borderId="1" xfId="0" applyFont="1" applyFill="1" applyBorder="1" applyAlignment="1" applyProtection="1">
      <alignment horizontal="left" vertical="center" wrapText="1"/>
      <protection locked="0"/>
    </xf>
    <xf numFmtId="49" fontId="23" fillId="5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left" vertical="center" wrapText="1"/>
    </xf>
    <xf numFmtId="49" fontId="24" fillId="0" borderId="1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Fill="1" applyBorder="1" applyAlignment="1" applyProtection="1">
      <alignment horizontal="left" vertical="center"/>
      <protection locked="0"/>
    </xf>
    <xf numFmtId="0" fontId="8" fillId="0" borderId="1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vertical="center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NumberFormat="1" applyFont="1" applyFill="1" applyBorder="1" applyAlignment="1" applyProtection="1">
      <alignment horizontal="left" vertical="center"/>
    </xf>
    <xf numFmtId="49" fontId="8" fillId="0" borderId="0" xfId="0" applyNumberFormat="1" applyFont="1" applyFill="1" applyBorder="1" applyAlignment="1" applyProtection="1">
      <alignment horizontal="left" vertical="center"/>
      <protection locked="0"/>
    </xf>
    <xf numFmtId="0" fontId="24" fillId="0" borderId="1" xfId="0" applyFont="1" applyFill="1" applyBorder="1" applyAlignment="1">
      <alignment horizontal="center" vertical="center"/>
    </xf>
    <xf numFmtId="0" fontId="25" fillId="0" borderId="0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C00000"/>
      <color rgb="00FF0000"/>
      <color rgb="00000000"/>
      <color rgb="00FFFFFF"/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4" Type="http://schemas.openxmlformats.org/officeDocument/2006/relationships/image" Target="media/image5.jpeg"/><Relationship Id="rId3" Type="http://schemas.openxmlformats.org/officeDocument/2006/relationships/image" Target="media/image4.png"/><Relationship Id="rId2" Type="http://schemas.openxmlformats.org/officeDocument/2006/relationships/image" Target="NULL" TargetMode="External"/><Relationship Id="rId1" Type="http://schemas.openxmlformats.org/officeDocument/2006/relationships/image" Target="media/image3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247015</xdr:colOff>
      <xdr:row>43</xdr:row>
      <xdr:rowOff>38100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905615" cy="741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100965</xdr:colOff>
      <xdr:row>42</xdr:row>
      <xdr:rowOff>161925</xdr:rowOff>
    </xdr:from>
    <xdr:to>
      <xdr:col>17</xdr:col>
      <xdr:colOff>147955</xdr:colOff>
      <xdr:row>55</xdr:row>
      <xdr:rowOff>47625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965" y="7362825"/>
          <a:ext cx="11705590" cy="2114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9-10%20&#25209;&#37327;&#19979;&#21333;&#27169;&#26495;%20&#32654;&#35199;&#26222;&#33337;&#26631;&#20934;&#20214;&#38145;&#20179;&#21345;&#27966;&#26080;&#24551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发票箱单"/>
      <sheetName val="走货线路名和申报币别要求-不能删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T36"/>
  <sheetViews>
    <sheetView tabSelected="1" zoomScale="70" zoomScaleNormal="70" workbookViewId="0">
      <selection activeCell="B10" sqref="B10"/>
    </sheetView>
  </sheetViews>
  <sheetFormatPr defaultColWidth="9" defaultRowHeight="18" customHeight="1"/>
  <cols>
    <col min="1" max="1" width="31.8" style="15" customWidth="1"/>
    <col min="2" max="2" width="24" style="16" customWidth="1"/>
    <col min="3" max="3" width="32.775" style="15" customWidth="1"/>
    <col min="4" max="4" width="27.4666666666667" style="15" customWidth="1"/>
    <col min="5" max="5" width="16.1833333333333" style="15" customWidth="1"/>
    <col min="6" max="7" width="16.2583333333333" style="15" customWidth="1"/>
    <col min="8" max="13" width="9.375" style="15" customWidth="1"/>
    <col min="14" max="14" width="17.5083333333333" style="15" customWidth="1"/>
    <col min="15" max="17" width="9.375" style="15" customWidth="1"/>
    <col min="18" max="18" width="15.2583333333333" style="15" customWidth="1"/>
    <col min="19" max="19" width="14.125" style="15" customWidth="1"/>
    <col min="20" max="21" width="13" style="15" customWidth="1"/>
    <col min="23" max="16384" width="9" style="15"/>
  </cols>
  <sheetData>
    <row r="1" s="11" customFormat="1" ht="32" customHeight="1" spans="1:21">
      <c r="A1" s="17" t="s">
        <v>0</v>
      </c>
      <c r="B1" s="18" t="s">
        <v>1</v>
      </c>
      <c r="C1" s="17" t="s">
        <v>2</v>
      </c>
      <c r="D1" s="19" t="s">
        <v>1</v>
      </c>
      <c r="E1" s="20" t="s">
        <v>3</v>
      </c>
      <c r="F1" s="21"/>
      <c r="G1" s="21"/>
      <c r="H1" s="21"/>
      <c r="I1" s="21"/>
      <c r="J1" s="21"/>
      <c r="K1" s="21"/>
      <c r="L1" s="21"/>
      <c r="M1" s="21"/>
      <c r="N1" s="21"/>
      <c r="O1" s="22"/>
      <c r="P1" s="22"/>
      <c r="Q1" s="22"/>
      <c r="R1" s="22"/>
      <c r="S1" s="22"/>
      <c r="T1" s="12"/>
    </row>
    <row r="2" s="11" customFormat="1" ht="32" customHeight="1" spans="1:21">
      <c r="A2" s="17" t="s">
        <v>4</v>
      </c>
      <c r="B2" s="23" t="s">
        <v>5</v>
      </c>
      <c r="C2" s="17" t="s">
        <v>6</v>
      </c>
      <c r="D2" s="24" t="s">
        <v>7</v>
      </c>
      <c r="E2" s="25" t="s">
        <v>8</v>
      </c>
      <c r="F2" s="26"/>
      <c r="G2" s="26"/>
      <c r="H2" s="26"/>
      <c r="I2" s="26"/>
      <c r="J2" s="26"/>
      <c r="K2" s="26"/>
      <c r="L2" s="26"/>
      <c r="M2" s="26"/>
      <c r="N2" s="26"/>
      <c r="O2" s="27"/>
      <c r="P2" s="27"/>
      <c r="Q2" s="27"/>
      <c r="R2" s="27"/>
      <c r="S2" s="27"/>
      <c r="T2" s="28"/>
    </row>
    <row r="3" s="11" customFormat="1" ht="32" customHeight="1" spans="1:21">
      <c r="A3" s="17" t="s">
        <v>9</v>
      </c>
      <c r="B3" s="29" t="s">
        <v>10</v>
      </c>
      <c r="C3" s="17" t="s">
        <v>11</v>
      </c>
      <c r="D3" s="30" t="s">
        <v>12</v>
      </c>
      <c r="E3" s="31" t="s">
        <v>13</v>
      </c>
      <c r="F3" s="31"/>
      <c r="G3" s="31"/>
      <c r="H3" s="31"/>
      <c r="I3" s="31"/>
      <c r="J3" s="31"/>
      <c r="K3" s="31"/>
      <c r="L3" s="31"/>
      <c r="M3" s="31"/>
      <c r="N3" s="31"/>
    </row>
    <row r="4" s="11" customFormat="1" ht="32" customHeight="1" spans="1:21">
      <c r="A4" s="17" t="s">
        <v>14</v>
      </c>
      <c r="B4" s="23" t="s">
        <v>15</v>
      </c>
      <c r="C4" s="17" t="s">
        <v>16</v>
      </c>
      <c r="D4" s="32"/>
      <c r="E4" s="33" t="s">
        <v>17</v>
      </c>
      <c r="F4" s="33"/>
      <c r="G4" s="33"/>
      <c r="H4" s="33"/>
      <c r="I4" s="33"/>
      <c r="J4" s="33"/>
      <c r="K4" s="33"/>
      <c r="L4" s="33"/>
      <c r="M4" s="33"/>
      <c r="N4" s="33"/>
      <c r="O4" s="12"/>
      <c r="P4" s="12"/>
      <c r="Q4" s="12"/>
      <c r="R4" s="12"/>
      <c r="S4" s="12"/>
      <c r="T4" s="12"/>
    </row>
    <row r="5" s="11" customFormat="1" ht="32" customHeight="1" spans="1:21">
      <c r="A5" s="17" t="s">
        <v>18</v>
      </c>
      <c r="B5" s="34" t="s">
        <v>19</v>
      </c>
      <c r="C5" s="17" t="s">
        <v>20</v>
      </c>
      <c r="D5" s="32"/>
      <c r="E5" s="33" t="s">
        <v>21</v>
      </c>
      <c r="F5" s="33"/>
      <c r="G5" s="33"/>
      <c r="H5" s="33"/>
      <c r="I5" s="33"/>
      <c r="J5" s="33"/>
      <c r="K5" s="33"/>
      <c r="L5" s="33"/>
      <c r="M5" s="33"/>
      <c r="N5" s="33"/>
      <c r="O5" s="12"/>
      <c r="P5" s="12"/>
      <c r="Q5" s="12"/>
      <c r="R5" s="12"/>
      <c r="S5" s="12"/>
      <c r="T5" s="12"/>
    </row>
    <row r="6" s="11" customFormat="1" ht="32" customHeight="1" spans="1:21">
      <c r="A6" s="35" t="s">
        <v>22</v>
      </c>
      <c r="B6" s="23" t="s">
        <v>23</v>
      </c>
      <c r="C6" s="36" t="s">
        <v>24</v>
      </c>
      <c r="D6" s="32"/>
      <c r="E6" s="33" t="s">
        <v>25</v>
      </c>
      <c r="F6" s="33"/>
      <c r="G6" s="33"/>
      <c r="H6" s="33"/>
      <c r="I6" s="33"/>
      <c r="J6" s="33"/>
      <c r="K6" s="33"/>
      <c r="L6" s="33"/>
      <c r="M6" s="33"/>
      <c r="N6" s="33"/>
      <c r="O6" s="37"/>
      <c r="P6" s="37"/>
      <c r="Q6" s="37"/>
      <c r="R6" s="37"/>
      <c r="S6" s="37"/>
      <c r="T6" s="37"/>
    </row>
    <row r="7" s="11" customFormat="1" ht="32" customHeight="1" spans="1:21">
      <c r="A7" s="17" t="s">
        <v>26</v>
      </c>
      <c r="B7" s="24" t="s">
        <v>27</v>
      </c>
      <c r="C7" s="36" t="s">
        <v>28</v>
      </c>
      <c r="D7" s="32"/>
      <c r="E7" s="33" t="s">
        <v>29</v>
      </c>
      <c r="F7" s="33"/>
      <c r="G7" s="33"/>
      <c r="H7" s="33"/>
      <c r="I7" s="33"/>
      <c r="J7" s="33"/>
      <c r="K7" s="33"/>
      <c r="L7" s="33"/>
      <c r="M7" s="33"/>
      <c r="N7" s="33"/>
      <c r="O7" s="38"/>
      <c r="P7" s="38"/>
      <c r="Q7" s="38"/>
      <c r="R7" s="38"/>
      <c r="S7" s="38"/>
      <c r="T7" s="38"/>
    </row>
    <row r="8" s="11" customFormat="1" ht="32" customHeight="1" spans="1:21">
      <c r="A8" s="17" t="s">
        <v>30</v>
      </c>
      <c r="B8" s="29" t="s">
        <v>31</v>
      </c>
      <c r="C8" s="17" t="s">
        <v>32</v>
      </c>
      <c r="D8" s="39"/>
      <c r="E8" s="33" t="s">
        <v>33</v>
      </c>
      <c r="F8" s="33"/>
      <c r="G8" s="33"/>
      <c r="H8" s="33"/>
      <c r="I8" s="33"/>
      <c r="J8" s="33"/>
      <c r="K8" s="33"/>
      <c r="L8" s="33"/>
      <c r="M8" s="33"/>
      <c r="N8" s="33"/>
      <c r="O8" s="38"/>
      <c r="P8" s="38"/>
      <c r="Q8" s="38"/>
      <c r="R8" s="38"/>
      <c r="S8" s="38"/>
      <c r="T8" s="38"/>
    </row>
    <row r="9" s="11" customFormat="1" ht="32" customHeight="1" spans="1:21">
      <c r="A9" s="40" t="s">
        <v>34</v>
      </c>
      <c r="B9" s="29"/>
      <c r="C9" s="17" t="s">
        <v>35</v>
      </c>
      <c r="D9" s="39"/>
      <c r="E9" s="33" t="s">
        <v>36</v>
      </c>
      <c r="F9" s="33"/>
      <c r="G9" s="33"/>
      <c r="H9" s="33"/>
      <c r="I9" s="33"/>
      <c r="J9" s="33"/>
      <c r="K9" s="33"/>
      <c r="L9" s="33"/>
      <c r="M9" s="33"/>
      <c r="N9" s="33"/>
      <c r="O9" s="38"/>
      <c r="P9" s="38"/>
      <c r="Q9" s="38"/>
      <c r="R9" s="38"/>
      <c r="S9" s="38"/>
      <c r="T9" s="38"/>
    </row>
    <row r="10" s="11" customFormat="1" ht="32" customHeight="1" spans="1:21">
      <c r="A10" s="40" t="s">
        <v>37</v>
      </c>
      <c r="B10" s="29"/>
      <c r="C10" s="36" t="s">
        <v>38</v>
      </c>
      <c r="D10" s="39"/>
      <c r="E10" s="33" t="s">
        <v>39</v>
      </c>
      <c r="F10" s="33"/>
      <c r="G10" s="33"/>
      <c r="H10" s="33"/>
      <c r="I10" s="33"/>
      <c r="J10" s="33"/>
      <c r="K10" s="33"/>
      <c r="L10" s="33"/>
      <c r="M10" s="33"/>
      <c r="N10" s="33"/>
      <c r="O10" s="38"/>
      <c r="P10" s="38"/>
      <c r="Q10" s="38"/>
      <c r="R10" s="38"/>
      <c r="S10" s="38"/>
      <c r="T10" s="38"/>
    </row>
    <row r="11" s="11" customFormat="1" ht="32" customHeight="1" spans="1:21">
      <c r="A11" s="40" t="s">
        <v>40</v>
      </c>
      <c r="B11" s="41"/>
      <c r="C11" s="36" t="s">
        <v>41</v>
      </c>
      <c r="D11" s="39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38"/>
      <c r="P11" s="38"/>
      <c r="Q11" s="38"/>
      <c r="R11" s="38"/>
      <c r="S11" s="38"/>
      <c r="T11" s="38"/>
    </row>
    <row r="12" s="11" customFormat="1" ht="32" customHeight="1" spans="1:21">
      <c r="A12" s="40" t="s">
        <v>42</v>
      </c>
      <c r="B12" s="29"/>
      <c r="C12" s="36" t="s">
        <v>13</v>
      </c>
      <c r="D12" s="24"/>
      <c r="E12" s="43" t="s">
        <v>43</v>
      </c>
      <c r="F12" s="43"/>
      <c r="G12" s="43"/>
      <c r="H12" s="43"/>
      <c r="I12" s="43"/>
      <c r="J12" s="43"/>
      <c r="K12" s="43"/>
      <c r="L12" s="43"/>
      <c r="M12" s="43"/>
      <c r="N12" s="43"/>
      <c r="O12" s="38"/>
      <c r="P12" s="38"/>
      <c r="Q12" s="38"/>
      <c r="R12" s="38"/>
      <c r="S12" s="38"/>
      <c r="T12" s="38"/>
    </row>
    <row r="13" s="11" customFormat="1" ht="32" customHeight="1" spans="1:21">
      <c r="A13" s="40" t="s">
        <v>44</v>
      </c>
      <c r="B13" s="29"/>
      <c r="C13" s="44"/>
      <c r="D13" s="45"/>
      <c r="E13" s="46"/>
      <c r="F13" s="4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</row>
    <row r="14" s="11" customFormat="1" ht="32" customHeight="1" spans="1:21">
      <c r="A14" s="40" t="s">
        <v>45</v>
      </c>
      <c r="B14" s="29"/>
      <c r="C14" s="48"/>
      <c r="D14" s="24"/>
      <c r="F14" s="47"/>
      <c r="G14" s="38"/>
      <c r="H14" s="38"/>
      <c r="I14" s="38"/>
      <c r="J14" s="38"/>
      <c r="L14" s="38"/>
      <c r="M14" s="38"/>
      <c r="N14" s="38"/>
      <c r="O14" s="38"/>
      <c r="P14" s="38"/>
      <c r="Q14" s="38"/>
      <c r="R14" s="38"/>
      <c r="S14" s="38"/>
      <c r="T14" s="38"/>
    </row>
    <row r="15" s="11" customFormat="1" ht="32" customHeight="1" spans="1:21">
      <c r="A15" s="40" t="s">
        <v>46</v>
      </c>
      <c r="B15" s="49"/>
      <c r="C15" s="50"/>
      <c r="D15" s="51"/>
      <c r="F15" s="4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  <row r="16" s="11" customFormat="1" ht="32" customHeight="1" spans="1:21">
      <c r="A16" s="17" t="s">
        <v>47</v>
      </c>
      <c r="B16" s="52">
        <v>2</v>
      </c>
      <c r="C16" s="53"/>
      <c r="D16" s="24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54" t="s">
        <v>48</v>
      </c>
      <c r="U16" s="54" t="s">
        <v>48</v>
      </c>
    </row>
    <row r="17" s="12" customFormat="1" ht="69" customHeight="1" spans="1:254">
      <c r="A17" s="55" t="s">
        <v>49</v>
      </c>
      <c r="B17" s="56" t="s">
        <v>50</v>
      </c>
      <c r="C17" s="55" t="s">
        <v>51</v>
      </c>
      <c r="D17" s="55" t="s">
        <v>52</v>
      </c>
      <c r="E17" s="55" t="s">
        <v>53</v>
      </c>
      <c r="F17" s="55" t="s">
        <v>54</v>
      </c>
      <c r="G17" s="55" t="s">
        <v>55</v>
      </c>
      <c r="H17" s="55" t="s">
        <v>56</v>
      </c>
      <c r="I17" s="57" t="s">
        <v>57</v>
      </c>
      <c r="J17" s="55" t="s">
        <v>58</v>
      </c>
      <c r="K17" s="55" t="s">
        <v>59</v>
      </c>
      <c r="L17" s="55" t="s">
        <v>60</v>
      </c>
      <c r="M17" s="55" t="s">
        <v>61</v>
      </c>
      <c r="N17" s="55" t="s">
        <v>62</v>
      </c>
      <c r="O17" s="56" t="s">
        <v>63</v>
      </c>
      <c r="P17" s="56" t="s">
        <v>64</v>
      </c>
      <c r="Q17" s="56" t="s">
        <v>65</v>
      </c>
      <c r="R17" s="56" t="s">
        <v>66</v>
      </c>
      <c r="S17" s="56" t="s">
        <v>67</v>
      </c>
      <c r="T17" s="58" t="s">
        <v>68</v>
      </c>
      <c r="U17" s="58" t="s">
        <v>69</v>
      </c>
      <c r="V17" s="59" t="s">
        <v>70</v>
      </c>
      <c r="W17" s="60" t="s">
        <v>71</v>
      </c>
      <c r="X17" s="60" t="s">
        <v>72</v>
      </c>
      <c r="Y17" s="60" t="s">
        <v>73</v>
      </c>
      <c r="Z17" s="60" t="s">
        <v>74</v>
      </c>
    </row>
    <row r="18" s="13" customFormat="1" ht="77.1" customHeight="1" spans="1:254">
      <c r="A18" s="61" t="s">
        <v>75</v>
      </c>
      <c r="B18" s="61" t="s">
        <v>76</v>
      </c>
      <c r="C18" s="61" t="s">
        <v>77</v>
      </c>
      <c r="D18" s="61" t="s">
        <v>78</v>
      </c>
      <c r="E18" s="61" t="s">
        <v>79</v>
      </c>
      <c r="F18" s="61" t="s">
        <v>80</v>
      </c>
      <c r="G18" s="62" t="s">
        <v>81</v>
      </c>
      <c r="H18" s="63" t="s">
        <v>82</v>
      </c>
      <c r="I18" s="62">
        <v>35</v>
      </c>
      <c r="J18" s="62" t="s">
        <v>83</v>
      </c>
      <c r="K18" s="63" t="s">
        <v>84</v>
      </c>
      <c r="L18" s="64">
        <v>0.5</v>
      </c>
      <c r="M18" s="62">
        <v>12.9</v>
      </c>
      <c r="N18" s="65" t="str">
        <f>_xlfn.DISPIMG("ID_A5C1A11F1BB441A59EB6EE37D5F16C4C",1)</f>
        <v>=DISPIMG("ID_A5C1A11F1BB441A59EB6EE37D5F16C4C",1)</v>
      </c>
      <c r="O18" s="63" t="s">
        <v>85</v>
      </c>
      <c r="P18" s="63" t="s">
        <v>85</v>
      </c>
      <c r="Q18" s="64" t="s">
        <v>85</v>
      </c>
      <c r="R18" s="63"/>
      <c r="S18" s="66"/>
      <c r="T18" s="67">
        <f>I18*J18</f>
        <v>35</v>
      </c>
      <c r="U18" s="67">
        <f>T18*L18</f>
        <v>17.5</v>
      </c>
      <c r="V18" s="66"/>
      <c r="W18" s="63" t="s">
        <v>86</v>
      </c>
      <c r="X18" s="63" t="s">
        <v>87</v>
      </c>
      <c r="Y18" s="63" t="s">
        <v>88</v>
      </c>
      <c r="Z18" s="63" t="s">
        <v>89</v>
      </c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  <c r="EE18" s="68"/>
      <c r="EF18" s="68"/>
      <c r="EG18" s="68"/>
      <c r="EH18" s="68"/>
      <c r="EI18" s="68"/>
      <c r="EJ18" s="68"/>
      <c r="EK18" s="68"/>
      <c r="EL18" s="68"/>
      <c r="EM18" s="68"/>
      <c r="EN18" s="68"/>
      <c r="EO18" s="68"/>
      <c r="EP18" s="68"/>
      <c r="EQ18" s="68"/>
      <c r="ER18" s="68"/>
      <c r="ES18" s="68"/>
      <c r="ET18" s="68"/>
      <c r="EU18" s="68"/>
      <c r="EV18" s="68"/>
      <c r="EW18" s="68"/>
      <c r="EX18" s="68"/>
      <c r="EY18" s="68"/>
      <c r="EZ18" s="68"/>
      <c r="FA18" s="68"/>
      <c r="FB18" s="68"/>
      <c r="FC18" s="68"/>
      <c r="FD18" s="68"/>
      <c r="FE18" s="68"/>
      <c r="FF18" s="68"/>
      <c r="FG18" s="68"/>
      <c r="FH18" s="68"/>
      <c r="FI18" s="68"/>
      <c r="FJ18" s="68"/>
      <c r="FK18" s="68"/>
      <c r="FL18" s="68"/>
      <c r="FM18" s="68"/>
      <c r="FN18" s="68"/>
      <c r="FO18" s="68"/>
      <c r="FP18" s="68"/>
      <c r="FQ18" s="68"/>
      <c r="FR18" s="68"/>
      <c r="FS18" s="68"/>
      <c r="FT18" s="68"/>
      <c r="FU18" s="68"/>
      <c r="FV18" s="68"/>
      <c r="FW18" s="68"/>
      <c r="FX18" s="68"/>
      <c r="FY18" s="68"/>
      <c r="FZ18" s="68"/>
      <c r="GA18" s="68"/>
      <c r="GB18" s="68"/>
      <c r="GC18" s="68"/>
      <c r="GD18" s="68"/>
      <c r="GE18" s="68"/>
      <c r="GF18" s="68"/>
      <c r="GG18" s="68"/>
      <c r="GH18" s="68"/>
      <c r="GI18" s="68"/>
      <c r="GJ18" s="68"/>
      <c r="GK18" s="68"/>
      <c r="GL18" s="68"/>
      <c r="GM18" s="68"/>
      <c r="GN18" s="68"/>
      <c r="GO18" s="68"/>
      <c r="GP18" s="68"/>
      <c r="GQ18" s="68"/>
      <c r="GR18" s="68"/>
      <c r="GS18" s="68"/>
      <c r="GT18" s="68"/>
      <c r="GU18" s="68"/>
      <c r="GV18" s="68"/>
      <c r="GW18" s="68"/>
      <c r="GX18" s="68"/>
      <c r="GY18" s="68"/>
      <c r="GZ18" s="68"/>
      <c r="HA18" s="68"/>
      <c r="HB18" s="68"/>
      <c r="HC18" s="68"/>
      <c r="HD18" s="68"/>
      <c r="HE18" s="68"/>
      <c r="HF18" s="68"/>
      <c r="HG18" s="68"/>
      <c r="HH18" s="68"/>
      <c r="HI18" s="68"/>
      <c r="HJ18" s="68"/>
      <c r="HK18" s="68"/>
      <c r="HL18" s="68"/>
      <c r="HM18" s="68"/>
      <c r="HN18" s="68"/>
      <c r="HO18" s="68"/>
      <c r="HP18" s="68"/>
      <c r="HQ18" s="68"/>
      <c r="HR18" s="68"/>
      <c r="HS18" s="68"/>
      <c r="HT18" s="68"/>
      <c r="HU18" s="68"/>
      <c r="HV18" s="68"/>
      <c r="HW18" s="68"/>
      <c r="HX18" s="68"/>
      <c r="HY18" s="68"/>
      <c r="HZ18" s="68"/>
      <c r="IA18" s="68"/>
      <c r="IB18" s="68"/>
      <c r="IC18" s="68"/>
      <c r="ID18" s="68"/>
      <c r="IE18" s="68"/>
      <c r="IF18" s="68"/>
      <c r="IG18" s="68"/>
      <c r="IH18" s="68"/>
      <c r="II18" s="68"/>
      <c r="IJ18" s="68"/>
      <c r="IK18" s="68"/>
      <c r="IL18" s="68"/>
      <c r="IM18" s="68"/>
      <c r="IN18" s="68"/>
      <c r="IO18" s="68"/>
      <c r="IP18" s="68"/>
      <c r="IQ18" s="68"/>
      <c r="IR18" s="68"/>
      <c r="IS18" s="68"/>
      <c r="IT18" s="68"/>
    </row>
    <row r="19" s="13" customFormat="1" ht="77.1" customHeight="1" spans="1:254">
      <c r="A19" s="69" t="s">
        <v>75</v>
      </c>
      <c r="B19" s="69" t="s">
        <v>76</v>
      </c>
      <c r="C19" s="69" t="s">
        <v>90</v>
      </c>
      <c r="D19" s="69" t="s">
        <v>91</v>
      </c>
      <c r="E19" s="69" t="s">
        <v>92</v>
      </c>
      <c r="F19" s="61" t="s">
        <v>80</v>
      </c>
      <c r="G19" s="69" t="s">
        <v>93</v>
      </c>
      <c r="H19" s="63" t="s">
        <v>82</v>
      </c>
      <c r="I19" s="69">
        <v>55</v>
      </c>
      <c r="J19" s="69" t="s">
        <v>83</v>
      </c>
      <c r="K19" s="63" t="s">
        <v>84</v>
      </c>
      <c r="L19" s="64">
        <v>0.45</v>
      </c>
      <c r="M19" s="69">
        <v>12.9</v>
      </c>
      <c r="N19" s="69" t="str">
        <f>_xlfn.DISPIMG("ID_AD55DD1097154FB4A7423DCF4941A189",1)</f>
        <v>=DISPIMG("ID_AD55DD1097154FB4A7423DCF4941A189",1)</v>
      </c>
      <c r="O19" s="63" t="s">
        <v>85</v>
      </c>
      <c r="P19" s="63" t="s">
        <v>85</v>
      </c>
      <c r="Q19" s="64" t="s">
        <v>85</v>
      </c>
      <c r="R19" s="63"/>
      <c r="S19" s="66"/>
      <c r="T19" s="67">
        <f>I19*J19</f>
        <v>55</v>
      </c>
      <c r="U19" s="67">
        <f>T19*L19</f>
        <v>24.75</v>
      </c>
      <c r="V19" s="66"/>
      <c r="W19" s="63" t="s">
        <v>86</v>
      </c>
      <c r="X19" s="63" t="s">
        <v>87</v>
      </c>
      <c r="Y19" s="63" t="s">
        <v>88</v>
      </c>
      <c r="Z19" s="63" t="s">
        <v>89</v>
      </c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  <c r="EE19" s="68"/>
      <c r="EF19" s="68"/>
      <c r="EG19" s="68"/>
      <c r="EH19" s="68"/>
      <c r="EI19" s="68"/>
      <c r="EJ19" s="68"/>
      <c r="EK19" s="68"/>
      <c r="EL19" s="68"/>
      <c r="EM19" s="68"/>
      <c r="EN19" s="68"/>
      <c r="EO19" s="68"/>
      <c r="EP19" s="68"/>
      <c r="EQ19" s="68"/>
      <c r="ER19" s="68"/>
      <c r="ES19" s="68"/>
      <c r="ET19" s="68"/>
      <c r="EU19" s="68"/>
      <c r="EV19" s="68"/>
      <c r="EW19" s="68"/>
      <c r="EX19" s="68"/>
      <c r="EY19" s="68"/>
      <c r="EZ19" s="68"/>
      <c r="FA19" s="68"/>
      <c r="FB19" s="68"/>
      <c r="FC19" s="68"/>
      <c r="FD19" s="68"/>
      <c r="FE19" s="68"/>
      <c r="FF19" s="68"/>
      <c r="FG19" s="68"/>
      <c r="FH19" s="68"/>
      <c r="FI19" s="68"/>
      <c r="FJ19" s="68"/>
      <c r="FK19" s="68"/>
      <c r="FL19" s="68"/>
      <c r="FM19" s="68"/>
      <c r="FN19" s="68"/>
      <c r="FO19" s="68"/>
      <c r="FP19" s="68"/>
      <c r="FQ19" s="68"/>
      <c r="FR19" s="68"/>
      <c r="FS19" s="68"/>
      <c r="FT19" s="68"/>
      <c r="FU19" s="68"/>
      <c r="FV19" s="68"/>
      <c r="FW19" s="68"/>
      <c r="FX19" s="68"/>
      <c r="FY19" s="68"/>
      <c r="FZ19" s="68"/>
      <c r="GA19" s="68"/>
      <c r="GB19" s="68"/>
      <c r="GC19" s="68"/>
      <c r="GD19" s="68"/>
      <c r="GE19" s="68"/>
      <c r="GF19" s="68"/>
      <c r="GG19" s="68"/>
      <c r="GH19" s="68"/>
      <c r="GI19" s="68"/>
      <c r="GJ19" s="68"/>
      <c r="GK19" s="68"/>
      <c r="GL19" s="68"/>
      <c r="GM19" s="68"/>
      <c r="GN19" s="68"/>
      <c r="GO19" s="68"/>
      <c r="GP19" s="68"/>
      <c r="GQ19" s="68"/>
      <c r="GR19" s="68"/>
      <c r="GS19" s="68"/>
      <c r="GT19" s="68"/>
      <c r="GU19" s="68"/>
      <c r="GV19" s="68"/>
      <c r="GW19" s="68"/>
      <c r="GX19" s="68"/>
      <c r="GY19" s="68"/>
      <c r="GZ19" s="68"/>
      <c r="HA19" s="68"/>
      <c r="HB19" s="68"/>
      <c r="HC19" s="68"/>
      <c r="HD19" s="68"/>
      <c r="HE19" s="68"/>
      <c r="HF19" s="68"/>
      <c r="HG19" s="68"/>
      <c r="HH19" s="68"/>
      <c r="HI19" s="68"/>
      <c r="HJ19" s="68"/>
      <c r="HK19" s="68"/>
      <c r="HL19" s="68"/>
      <c r="HM19" s="68"/>
      <c r="HN19" s="68"/>
      <c r="HO19" s="68"/>
      <c r="HP19" s="68"/>
      <c r="HQ19" s="68"/>
      <c r="HR19" s="68"/>
      <c r="HS19" s="68"/>
      <c r="HT19" s="68"/>
      <c r="HU19" s="68"/>
      <c r="HV19" s="68"/>
      <c r="HW19" s="68"/>
      <c r="HX19" s="68"/>
      <c r="HY19" s="68"/>
      <c r="HZ19" s="68"/>
      <c r="IA19" s="68"/>
      <c r="IB19" s="68"/>
      <c r="IC19" s="68"/>
      <c r="ID19" s="68"/>
      <c r="IE19" s="68"/>
      <c r="IF19" s="68"/>
      <c r="IG19" s="68"/>
      <c r="IH19" s="68"/>
      <c r="II19" s="68"/>
      <c r="IJ19" s="68"/>
      <c r="IK19" s="68"/>
      <c r="IL19" s="68"/>
      <c r="IM19" s="68"/>
      <c r="IN19" s="68"/>
      <c r="IO19" s="68"/>
      <c r="IP19" s="68"/>
      <c r="IQ19" s="68"/>
      <c r="IR19" s="68"/>
      <c r="IS19" s="68"/>
      <c r="IT19" s="68"/>
    </row>
    <row r="20" s="13" customFormat="1" ht="77.1" customHeight="1" spans="1:254">
      <c r="A20" s="69" t="s">
        <v>94</v>
      </c>
      <c r="B20" s="69" t="s">
        <v>76</v>
      </c>
      <c r="C20" s="69" t="s">
        <v>90</v>
      </c>
      <c r="D20" s="69" t="s">
        <v>91</v>
      </c>
      <c r="E20" s="69" t="s">
        <v>92</v>
      </c>
      <c r="F20" s="61" t="s">
        <v>80</v>
      </c>
      <c r="G20" s="69" t="s">
        <v>93</v>
      </c>
      <c r="H20" s="63" t="s">
        <v>82</v>
      </c>
      <c r="I20" s="69">
        <v>150</v>
      </c>
      <c r="J20" s="69" t="s">
        <v>83</v>
      </c>
      <c r="K20" s="63" t="s">
        <v>84</v>
      </c>
      <c r="L20" s="64">
        <v>0.4</v>
      </c>
      <c r="M20" s="69">
        <v>14.25</v>
      </c>
      <c r="N20" s="69" t="str">
        <f>_xlfn.DISPIMG("ID_A6035D1C95664094990E968EF26336AB",1)</f>
        <v>=DISPIMG("ID_A6035D1C95664094990E968EF26336AB",1)</v>
      </c>
      <c r="O20" s="63" t="s">
        <v>85</v>
      </c>
      <c r="P20" s="63" t="s">
        <v>85</v>
      </c>
      <c r="Q20" s="64" t="s">
        <v>85</v>
      </c>
      <c r="R20" s="63"/>
      <c r="S20" s="66"/>
      <c r="T20" s="67">
        <f>I20*J20</f>
        <v>150</v>
      </c>
      <c r="U20" s="67">
        <f>T20*L20</f>
        <v>60</v>
      </c>
      <c r="V20" s="66"/>
      <c r="W20" s="63" t="s">
        <v>95</v>
      </c>
      <c r="X20" s="63" t="s">
        <v>87</v>
      </c>
      <c r="Y20" s="63" t="s">
        <v>88</v>
      </c>
      <c r="Z20" s="63" t="s">
        <v>89</v>
      </c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  <c r="HA20" s="68"/>
      <c r="HB20" s="68"/>
      <c r="HC20" s="68"/>
      <c r="HD20" s="68"/>
      <c r="HE20" s="68"/>
      <c r="HF20" s="68"/>
      <c r="HG20" s="68"/>
      <c r="HH20" s="68"/>
      <c r="HI20" s="68"/>
      <c r="HJ20" s="68"/>
      <c r="HK20" s="68"/>
      <c r="HL20" s="68"/>
      <c r="HM20" s="68"/>
      <c r="HN20" s="68"/>
      <c r="HO20" s="68"/>
      <c r="HP20" s="68"/>
      <c r="HQ20" s="68"/>
      <c r="HR20" s="68"/>
      <c r="HS20" s="68"/>
      <c r="HT20" s="68"/>
      <c r="HU20" s="68"/>
      <c r="HV20" s="68"/>
      <c r="HW20" s="68"/>
      <c r="HX20" s="68"/>
      <c r="HY20" s="68"/>
      <c r="HZ20" s="68"/>
      <c r="IA20" s="68"/>
      <c r="IB20" s="68"/>
      <c r="IC20" s="68"/>
      <c r="ID20" s="68"/>
      <c r="IE20" s="68"/>
      <c r="IF20" s="68"/>
      <c r="IG20" s="68"/>
      <c r="IH20" s="68"/>
      <c r="II20" s="68"/>
      <c r="IJ20" s="68"/>
      <c r="IK20" s="68"/>
      <c r="IL20" s="68"/>
      <c r="IM20" s="68"/>
      <c r="IN20" s="68"/>
      <c r="IO20" s="68"/>
      <c r="IP20" s="68"/>
      <c r="IQ20" s="68"/>
      <c r="IR20" s="68"/>
      <c r="IS20" s="68"/>
      <c r="IT20" s="68"/>
    </row>
    <row r="21" s="14" customFormat="1" ht="77.1" customHeight="1" spans="1:254">
      <c r="A21" s="15"/>
      <c r="B21" s="16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S21" s="70"/>
      <c r="T21" s="70">
        <f>SUM(T18:T20)</f>
        <v>240</v>
      </c>
      <c r="U21" s="70">
        <f>SUM(U18:U20)</f>
        <v>102.25</v>
      </c>
    </row>
    <row r="22" ht="77.1" customHeight="1"/>
    <row r="23" ht="77.1" customHeight="1"/>
    <row r="24" ht="77.1" customHeight="1"/>
    <row r="25" ht="77.1" customHeight="1"/>
    <row r="26" ht="77.1" customHeight="1"/>
    <row r="27" ht="77.1" customHeight="1"/>
    <row r="28" ht="77.1" customHeight="1"/>
    <row r="29" ht="77.1" customHeight="1"/>
    <row r="30" ht="77.1" customHeight="1"/>
    <row r="31" ht="77.1" customHeight="1"/>
    <row r="32" ht="77.1" customHeight="1"/>
    <row r="33" ht="77.1" customHeight="1"/>
    <row r="34" ht="77.1" customHeight="1"/>
    <row r="35" ht="77.1" customHeight="1"/>
    <row r="36" ht="77.1" customHeight="1"/>
  </sheetData>
  <mergeCells count="12">
    <mergeCell ref="E1:N1"/>
    <mergeCell ref="E2:N2"/>
    <mergeCell ref="E3:N3"/>
    <mergeCell ref="E4:N4"/>
    <mergeCell ref="E5:N5"/>
    <mergeCell ref="E6:N6"/>
    <mergeCell ref="E7:N7"/>
    <mergeCell ref="E8:N8"/>
    <mergeCell ref="E9:N9"/>
    <mergeCell ref="E10:N10"/>
    <mergeCell ref="E11:N11"/>
    <mergeCell ref="E12:N12"/>
  </mergeCells>
  <dataValidations count="17">
    <dataValidation type="list" allowBlank="1" showInputMessage="1" sqref="F1 I2 H4:H17 H21:H65505" errorStyle="information">
      <formula1>"普货,带木,带电,带电带磁,带磁,带液体,带膏体,带皮革,带干燥剂,带酒精棉"</formula1>
    </dataValidation>
    <dataValidation type="whole" operator="between" allowBlank="1" showInputMessage="1" showErrorMessage="1" sqref="G1 J2 I18 I4:I16 I21:I65511">
      <formula1>1</formula1>
      <formula2>9999999999999990</formula2>
    </dataValidation>
    <dataValidation type="whole" operator="between" allowBlank="1" showInputMessage="1" showErrorMessage="1" sqref="H1 K2 J18 J4:J17 J21:J65511">
      <formula1>1</formula1>
      <formula2>11111111</formula2>
    </dataValidation>
    <dataValidation type="list" allowBlank="1" showInputMessage="1" showErrorMessage="1" sqref="I1 L2 K4:K17 K21:K65505">
      <formula1>"美金,英镑,欧元"</formula1>
    </dataValidation>
    <dataValidation type="decimal" operator="between" allowBlank="1" showInputMessage="1" showErrorMessage="1" error="只能填数字" sqref="J1 M2 L4:L20 L21:L65511">
      <formula1>0.00001</formula1>
      <formula2>99999</formula2>
    </dataValidation>
    <dataValidation type="decimal" operator="between" allowBlank="1" showInputMessage="1" showErrorMessage="1" error="只能填写数字" sqref="K1 M18 M4:M17 M21:M65511">
      <formula1>0</formula1>
      <formula2>2000</formula2>
    </dataValidation>
    <dataValidation type="list" allowBlank="1" showInputMessage="1" showErrorMessage="1" sqref="P1 Q2 P4:P16 P18:P20 P21:P65505">
      <formula1>"无,境内自主品牌,境内收购品牌,境外品牌(贴牌生产),境外品牌(其他)"</formula1>
    </dataValidation>
    <dataValidation type="list" allowBlank="1" showInputMessage="1" showErrorMessage="1" sqref="B2">
      <formula1>"厦门仓,泉州仓,莆田仓,福州仓,广州仓"</formula1>
    </dataValidation>
    <dataValidation type="list" allowBlank="1" showInputMessage="1" showErrorMessage="1" sqref="D2">
      <formula1>"是,否"</formula1>
    </dataValidation>
    <dataValidation type="list" allowBlank="1" showInputMessage="1" showErrorMessage="1" sqref="D3">
      <formula1>"包税,自税,递延PVA,合并清关,关税到付"</formula1>
    </dataValidation>
    <dataValidation type="list" allowBlank="1" showInputMessage="1" showErrorMessage="1" sqref="B4">
      <formula1>'走货线路名和申报币别要求-不能删'!$A$2:$A$565</formula1>
    </dataValidation>
    <dataValidation type="list" allowBlank="1" showInputMessage="1" showErrorMessage="1" sqref="B5">
      <formula1>"买单报关,单独报关,合并单独报关,部分单独报关,9810,9810合并单独报关,客户自报关9810,客户自报关9610,客户自报关一般贸易,客户自报关9810合并报关,客户自报关9610合并报关,客户自报关一般贸易合并报关,9810合并自推单,9810合并AHC推单,9810AHC推单,9810自推单"</formula1>
    </dataValidation>
    <dataValidation type="list" allowBlank="1" showInputMessage="1" showErrorMessage="1" sqref="B7">
      <formula1>"亚马逊地址,海外仓地址,商业地址,私人地址,AHC海外仓"</formula1>
    </dataValidation>
    <dataValidation type="list" allowBlank="1" showInputMessage="1" showErrorMessage="1" sqref="D14">
      <formula1>"自营德国海外仓,美国自营海外仓"</formula1>
    </dataValidation>
    <dataValidation type="list" allowBlank="1" showInputMessage="1" showErrorMessage="1" sqref="F15 F12:F13">
      <formula1>$F$10:$F$12</formula1>
    </dataValidation>
    <dataValidation type="list" allowBlank="1" showInputMessage="1" showErrorMessage="1" sqref="H18:H20">
      <formula1>"普货,带木,带电,敏感货,带电带磁,带木带磁,带磁,带液体,带膏体,带皮革,带干燥剂,带酒精棉,乒乓球检测,带电绝缘"</formula1>
    </dataValidation>
    <dataValidation type="list" allowBlank="1" showInputMessage="1" showErrorMessage="1" sqref="K18:K20">
      <formula1>"USD,GBP,EUR"</formula1>
    </dataValidation>
  </dataValidations>
  <pageMargins left="0.75" right="0.75" top="1" bottom="1" header="0.5" footer="0.5"/>
  <pageSetup paperSize="9" scale="36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35"/>
  <sheetViews>
    <sheetView topLeftCell="A67" workbookViewId="0">
      <selection activeCell="A67" sqref="$A1:$XFD1048576"/>
    </sheetView>
  </sheetViews>
  <sheetFormatPr defaultColWidth="9.025" defaultRowHeight="13.5" outlineLevelCol="2"/>
  <cols>
    <col min="1" max="1" width="31.8" style="1" customWidth="1"/>
    <col min="2" max="3" width="26.4916666666667" style="1" customWidth="1"/>
    <col min="4" max="16384" width="9.025" style="1"/>
  </cols>
  <sheetData>
    <row r="1" s="1" customFormat="1" ht="27" customHeight="1" spans="1:3">
      <c r="A1" s="4" t="s">
        <v>96</v>
      </c>
      <c r="B1" s="4" t="s">
        <v>97</v>
      </c>
      <c r="C1" s="4" t="s">
        <v>98</v>
      </c>
    </row>
    <row r="2" s="2" customFormat="1" ht="19" customHeight="1" spans="1:3">
      <c r="A2" s="5" t="s">
        <v>15</v>
      </c>
      <c r="B2" s="6" t="s">
        <v>99</v>
      </c>
      <c r="C2" s="6" t="s">
        <v>100</v>
      </c>
    </row>
    <row r="3" s="2" customFormat="1" ht="19" customHeight="1" spans="1:3">
      <c r="A3" s="5" t="s">
        <v>101</v>
      </c>
      <c r="B3" s="7"/>
      <c r="C3" s="7"/>
    </row>
    <row r="4" s="2" customFormat="1" ht="19" customHeight="1" spans="1:3">
      <c r="A4" s="5" t="s">
        <v>102</v>
      </c>
      <c r="B4" s="7"/>
      <c r="C4" s="7"/>
    </row>
    <row r="5" s="2" customFormat="1" ht="19" customHeight="1" spans="1:3">
      <c r="A5" s="5" t="s">
        <v>103</v>
      </c>
      <c r="B5" s="7"/>
      <c r="C5" s="7"/>
    </row>
    <row r="6" s="2" customFormat="1" ht="19" customHeight="1" spans="1:3">
      <c r="A6" s="5" t="s">
        <v>104</v>
      </c>
      <c r="B6" s="7"/>
      <c r="C6" s="7"/>
    </row>
    <row r="7" s="2" customFormat="1" ht="19" customHeight="1" spans="1:3">
      <c r="A7" s="5" t="s">
        <v>105</v>
      </c>
      <c r="B7" s="7"/>
      <c r="C7" s="7"/>
    </row>
    <row r="8" s="2" customFormat="1" ht="19" customHeight="1" spans="1:3">
      <c r="A8" s="5" t="s">
        <v>106</v>
      </c>
      <c r="B8" s="7"/>
      <c r="C8" s="7"/>
    </row>
    <row r="9" s="2" customFormat="1" ht="19" customHeight="1" spans="1:3">
      <c r="A9" s="5" t="s">
        <v>107</v>
      </c>
      <c r="B9" s="7"/>
      <c r="C9" s="7"/>
    </row>
    <row r="10" s="2" customFormat="1" ht="19" customHeight="1" spans="1:3">
      <c r="A10" s="5" t="s">
        <v>108</v>
      </c>
      <c r="B10" s="7"/>
      <c r="C10" s="7"/>
    </row>
    <row r="11" s="2" customFormat="1" ht="19" customHeight="1" spans="1:3">
      <c r="A11" s="5" t="s">
        <v>109</v>
      </c>
      <c r="B11" s="7"/>
      <c r="C11" s="7"/>
    </row>
    <row r="12" s="2" customFormat="1" ht="19" customHeight="1" spans="1:3">
      <c r="A12" s="5" t="s">
        <v>110</v>
      </c>
      <c r="B12" s="7"/>
      <c r="C12" s="7"/>
    </row>
    <row r="13" s="2" customFormat="1" ht="19" customHeight="1" spans="1:3">
      <c r="A13" s="5" t="s">
        <v>111</v>
      </c>
      <c r="B13" s="7"/>
      <c r="C13" s="7"/>
    </row>
    <row r="14" s="2" customFormat="1" ht="19" customHeight="1" spans="1:3">
      <c r="A14" s="5" t="s">
        <v>112</v>
      </c>
      <c r="B14" s="7"/>
      <c r="C14" s="7"/>
    </row>
    <row r="15" s="2" customFormat="1" ht="19" customHeight="1" spans="1:3">
      <c r="A15" s="5" t="s">
        <v>113</v>
      </c>
      <c r="B15" s="7"/>
      <c r="C15" s="7"/>
    </row>
    <row r="16" s="2" customFormat="1" ht="19" customHeight="1" spans="1:3">
      <c r="A16" s="5" t="s">
        <v>114</v>
      </c>
      <c r="B16" s="7"/>
      <c r="C16" s="7"/>
    </row>
    <row r="17" s="2" customFormat="1" ht="19" customHeight="1" spans="1:3">
      <c r="A17" s="5" t="s">
        <v>115</v>
      </c>
      <c r="B17" s="7"/>
      <c r="C17" s="7"/>
    </row>
    <row r="18" s="2" customFormat="1" ht="19" customHeight="1" spans="1:3">
      <c r="A18" s="5" t="s">
        <v>116</v>
      </c>
      <c r="B18" s="7"/>
      <c r="C18" s="7"/>
    </row>
    <row r="19" s="2" customFormat="1" ht="19" customHeight="1" spans="1:3">
      <c r="A19" s="5" t="s">
        <v>117</v>
      </c>
      <c r="B19" s="7"/>
      <c r="C19" s="7"/>
    </row>
    <row r="20" s="2" customFormat="1" ht="19" customHeight="1" spans="1:3">
      <c r="A20" s="5" t="s">
        <v>118</v>
      </c>
      <c r="B20" s="7"/>
      <c r="C20" s="7"/>
    </row>
    <row r="21" s="2" customFormat="1" ht="19" customHeight="1" spans="1:3">
      <c r="A21" s="5" t="s">
        <v>119</v>
      </c>
      <c r="B21" s="7"/>
      <c r="C21" s="7"/>
    </row>
    <row r="22" s="2" customFormat="1" ht="19" customHeight="1" spans="1:3">
      <c r="A22" s="5" t="s">
        <v>120</v>
      </c>
      <c r="B22" s="7"/>
      <c r="C22" s="7"/>
    </row>
    <row r="23" s="2" customFormat="1" ht="19" customHeight="1" spans="1:3">
      <c r="A23" s="5" t="s">
        <v>121</v>
      </c>
      <c r="B23" s="7"/>
      <c r="C23" s="7"/>
    </row>
    <row r="24" s="2" customFormat="1" ht="19" customHeight="1" spans="1:3">
      <c r="A24" s="5" t="s">
        <v>122</v>
      </c>
      <c r="B24" s="7"/>
      <c r="C24" s="7"/>
    </row>
    <row r="25" s="2" customFormat="1" ht="19" customHeight="1" spans="1:3">
      <c r="A25" s="5" t="s">
        <v>123</v>
      </c>
      <c r="B25" s="7"/>
      <c r="C25" s="7"/>
    </row>
    <row r="26" s="2" customFormat="1" ht="19" customHeight="1" spans="1:3">
      <c r="A26" s="5" t="s">
        <v>124</v>
      </c>
      <c r="B26" s="7"/>
      <c r="C26" s="7"/>
    </row>
    <row r="27" s="2" customFormat="1" ht="19" customHeight="1" spans="1:3">
      <c r="A27" s="5" t="s">
        <v>125</v>
      </c>
      <c r="B27" s="7"/>
      <c r="C27" s="7"/>
    </row>
    <row r="28" s="2" customFormat="1" ht="19" customHeight="1" spans="1:3">
      <c r="A28" s="5" t="s">
        <v>126</v>
      </c>
      <c r="B28" s="7"/>
      <c r="C28" s="7"/>
    </row>
    <row r="29" s="2" customFormat="1" ht="19" customHeight="1" spans="1:3">
      <c r="A29" s="5" t="s">
        <v>127</v>
      </c>
      <c r="B29" s="7"/>
      <c r="C29" s="7"/>
    </row>
    <row r="30" s="2" customFormat="1" ht="19" customHeight="1" spans="1:3">
      <c r="A30" s="5" t="s">
        <v>128</v>
      </c>
      <c r="B30" s="7"/>
      <c r="C30" s="7"/>
    </row>
    <row r="31" s="2" customFormat="1" ht="19" customHeight="1" spans="1:3">
      <c r="A31" s="5" t="s">
        <v>129</v>
      </c>
      <c r="B31" s="7"/>
      <c r="C31" s="7"/>
    </row>
    <row r="32" s="2" customFormat="1" ht="19" customHeight="1" spans="1:3">
      <c r="A32" s="5" t="s">
        <v>130</v>
      </c>
      <c r="B32" s="7"/>
      <c r="C32" s="7"/>
    </row>
    <row r="33" s="2" customFormat="1" ht="19" customHeight="1" spans="1:3">
      <c r="A33" s="5" t="s">
        <v>131</v>
      </c>
      <c r="B33" s="7"/>
      <c r="C33" s="7"/>
    </row>
    <row r="34" s="2" customFormat="1" ht="19" customHeight="1" spans="1:3">
      <c r="A34" s="5" t="s">
        <v>132</v>
      </c>
      <c r="B34" s="7"/>
      <c r="C34" s="7"/>
    </row>
    <row r="35" s="2" customFormat="1" ht="19" customHeight="1" spans="1:3">
      <c r="A35" s="5" t="s">
        <v>133</v>
      </c>
      <c r="B35" s="7"/>
      <c r="C35" s="7"/>
    </row>
    <row r="36" s="2" customFormat="1" ht="19" customHeight="1" spans="1:3">
      <c r="A36" s="5" t="s">
        <v>134</v>
      </c>
      <c r="B36" s="7"/>
      <c r="C36" s="7"/>
    </row>
    <row r="37" s="2" customFormat="1" ht="19" customHeight="1" spans="1:3">
      <c r="A37" s="5" t="s">
        <v>135</v>
      </c>
      <c r="B37" s="7"/>
      <c r="C37" s="7"/>
    </row>
    <row r="38" s="3" customFormat="1" ht="19" customHeight="1" spans="1:3">
      <c r="A38" s="5" t="s">
        <v>136</v>
      </c>
      <c r="B38" s="7"/>
      <c r="C38" s="7"/>
    </row>
    <row r="39" s="3" customFormat="1" ht="19" customHeight="1" spans="1:3">
      <c r="A39" s="5" t="s">
        <v>137</v>
      </c>
      <c r="B39" s="7"/>
      <c r="C39" s="7"/>
    </row>
    <row r="40" s="2" customFormat="1" ht="19" customHeight="1" spans="1:3">
      <c r="A40" s="5" t="s">
        <v>138</v>
      </c>
      <c r="B40" s="7"/>
      <c r="C40" s="7"/>
    </row>
    <row r="41" s="2" customFormat="1" ht="19" customHeight="1" spans="1:3">
      <c r="A41" s="5" t="s">
        <v>139</v>
      </c>
      <c r="B41" s="7"/>
      <c r="C41" s="7"/>
    </row>
    <row r="42" s="2" customFormat="1" ht="19" customHeight="1" spans="1:3">
      <c r="A42" s="5" t="s">
        <v>140</v>
      </c>
      <c r="B42" s="7"/>
      <c r="C42" s="7"/>
    </row>
    <row r="43" s="2" customFormat="1" ht="19" customHeight="1" spans="1:3">
      <c r="A43" s="5" t="s">
        <v>141</v>
      </c>
      <c r="B43" s="7"/>
      <c r="C43" s="7"/>
    </row>
    <row r="44" s="2" customFormat="1" ht="19" customHeight="1" spans="1:3">
      <c r="A44" s="5" t="s">
        <v>142</v>
      </c>
      <c r="B44" s="7"/>
      <c r="C44" s="7"/>
    </row>
    <row r="45" s="2" customFormat="1" ht="19" customHeight="1" spans="1:3">
      <c r="A45" s="5" t="s">
        <v>143</v>
      </c>
      <c r="B45" s="7"/>
      <c r="C45" s="7"/>
    </row>
    <row r="46" s="2" customFormat="1" ht="19" customHeight="1" spans="1:3">
      <c r="A46" s="5" t="s">
        <v>144</v>
      </c>
      <c r="B46" s="7"/>
      <c r="C46" s="7"/>
    </row>
    <row r="47" s="2" customFormat="1" ht="19" customHeight="1" spans="1:3">
      <c r="A47" s="5" t="s">
        <v>145</v>
      </c>
      <c r="B47" s="7"/>
      <c r="C47" s="6" t="s">
        <v>146</v>
      </c>
    </row>
    <row r="48" s="2" customFormat="1" ht="19" customHeight="1" spans="1:3">
      <c r="A48" s="5" t="s">
        <v>147</v>
      </c>
      <c r="B48" s="7"/>
      <c r="C48" s="7"/>
    </row>
    <row r="49" s="2" customFormat="1" ht="19" customHeight="1" spans="1:3">
      <c r="A49" s="5" t="s">
        <v>148</v>
      </c>
      <c r="B49" s="7"/>
      <c r="C49" s="7"/>
    </row>
    <row r="50" s="2" customFormat="1" ht="19" customHeight="1" spans="1:3">
      <c r="A50" s="5" t="s">
        <v>149</v>
      </c>
      <c r="B50" s="7"/>
      <c r="C50" s="7"/>
    </row>
    <row r="51" s="2" customFormat="1" ht="19" customHeight="1" spans="1:3">
      <c r="A51" s="5" t="s">
        <v>150</v>
      </c>
      <c r="B51" s="7"/>
      <c r="C51" s="7"/>
    </row>
    <row r="52" s="2" customFormat="1" ht="19" customHeight="1" spans="1:3">
      <c r="A52" s="5" t="s">
        <v>151</v>
      </c>
      <c r="B52" s="7"/>
      <c r="C52" s="7"/>
    </row>
    <row r="53" s="3" customFormat="1" ht="19" customHeight="1" spans="1:3">
      <c r="A53" s="5" t="s">
        <v>152</v>
      </c>
      <c r="B53" s="7"/>
      <c r="C53" s="8"/>
    </row>
    <row r="54" s="2" customFormat="1" ht="19" customHeight="1" spans="1:3">
      <c r="A54" s="5" t="s">
        <v>153</v>
      </c>
      <c r="B54" s="7"/>
      <c r="C54" s="7"/>
    </row>
    <row r="55" s="2" customFormat="1" ht="19" customHeight="1" spans="1:3">
      <c r="A55" s="5" t="s">
        <v>154</v>
      </c>
      <c r="B55" s="9"/>
      <c r="C55" s="9"/>
    </row>
    <row r="56" s="2" customFormat="1" ht="19" customHeight="1" spans="1:3">
      <c r="A56" s="5" t="s">
        <v>155</v>
      </c>
      <c r="B56" s="6" t="s">
        <v>156</v>
      </c>
      <c r="C56" s="6" t="s">
        <v>157</v>
      </c>
    </row>
    <row r="57" s="2" customFormat="1" ht="19" customHeight="1" spans="1:3">
      <c r="A57" s="5" t="s">
        <v>158</v>
      </c>
      <c r="B57" s="7"/>
      <c r="C57" s="7"/>
    </row>
    <row r="58" s="2" customFormat="1" ht="19" customHeight="1" spans="1:3">
      <c r="A58" s="5" t="s">
        <v>159</v>
      </c>
      <c r="B58" s="7"/>
      <c r="C58" s="7"/>
    </row>
    <row r="59" s="2" customFormat="1" ht="19" customHeight="1" spans="1:3">
      <c r="A59" s="5" t="s">
        <v>160</v>
      </c>
      <c r="B59" s="7"/>
      <c r="C59" s="7"/>
    </row>
    <row r="60" s="2" customFormat="1" ht="19" customHeight="1" spans="1:3">
      <c r="A60" s="5" t="s">
        <v>161</v>
      </c>
      <c r="B60" s="7"/>
      <c r="C60" s="7"/>
    </row>
    <row r="61" s="2" customFormat="1" ht="19" customHeight="1" spans="1:3">
      <c r="A61" s="5" t="s">
        <v>162</v>
      </c>
      <c r="B61" s="7"/>
      <c r="C61" s="7"/>
    </row>
    <row r="62" s="2" customFormat="1" ht="19" customHeight="1" spans="1:3">
      <c r="A62" s="5" t="s">
        <v>163</v>
      </c>
      <c r="B62" s="7"/>
      <c r="C62" s="7"/>
    </row>
    <row r="63" s="2" customFormat="1" ht="19" customHeight="1" spans="1:3">
      <c r="A63" s="5" t="s">
        <v>164</v>
      </c>
      <c r="B63" s="7"/>
      <c r="C63" s="7"/>
    </row>
    <row r="64" s="2" customFormat="1" ht="19" customHeight="1" spans="1:3">
      <c r="A64" s="5" t="s">
        <v>165</v>
      </c>
      <c r="B64" s="7"/>
      <c r="C64" s="7"/>
    </row>
    <row r="65" s="2" customFormat="1" ht="19" customHeight="1" spans="1:3">
      <c r="A65" s="5" t="s">
        <v>166</v>
      </c>
      <c r="B65" s="7"/>
      <c r="C65" s="7"/>
    </row>
    <row r="66" s="2" customFormat="1" ht="19" customHeight="1" spans="1:3">
      <c r="A66" s="5" t="s">
        <v>167</v>
      </c>
      <c r="B66" s="7"/>
      <c r="C66" s="7"/>
    </row>
    <row r="67" s="2" customFormat="1" ht="19" customHeight="1" spans="1:3">
      <c r="A67" s="5" t="s">
        <v>168</v>
      </c>
      <c r="B67" s="7"/>
      <c r="C67" s="7"/>
    </row>
    <row r="68" s="2" customFormat="1" ht="19" customHeight="1" spans="1:3">
      <c r="A68" s="5" t="s">
        <v>169</v>
      </c>
      <c r="B68" s="7"/>
      <c r="C68" s="7"/>
    </row>
    <row r="69" s="2" customFormat="1" ht="19" customHeight="1" spans="1:3">
      <c r="A69" s="5" t="s">
        <v>170</v>
      </c>
      <c r="B69" s="7"/>
      <c r="C69" s="7"/>
    </row>
    <row r="70" s="2" customFormat="1" ht="19" customHeight="1" spans="1:3">
      <c r="A70" s="5" t="s">
        <v>171</v>
      </c>
      <c r="B70" s="7"/>
      <c r="C70" s="7"/>
    </row>
    <row r="71" s="2" customFormat="1" ht="19" customHeight="1" spans="1:3">
      <c r="A71" s="5" t="s">
        <v>172</v>
      </c>
      <c r="B71" s="7"/>
      <c r="C71" s="7"/>
    </row>
    <row r="72" s="2" customFormat="1" ht="19" customHeight="1" spans="1:3">
      <c r="A72" s="5" t="s">
        <v>173</v>
      </c>
      <c r="B72" s="7"/>
      <c r="C72" s="7"/>
    </row>
    <row r="73" s="2" customFormat="1" ht="19" customHeight="1" spans="1:3">
      <c r="A73" s="5" t="s">
        <v>174</v>
      </c>
      <c r="B73" s="7"/>
      <c r="C73" s="7"/>
    </row>
    <row r="74" s="2" customFormat="1" ht="19" customHeight="1" spans="1:3">
      <c r="A74" s="5" t="s">
        <v>175</v>
      </c>
      <c r="B74" s="7"/>
      <c r="C74" s="7"/>
    </row>
    <row r="75" s="2" customFormat="1" ht="19" customHeight="1" spans="1:3">
      <c r="A75" s="5" t="s">
        <v>176</v>
      </c>
      <c r="B75" s="7"/>
      <c r="C75" s="7"/>
    </row>
    <row r="76" s="2" customFormat="1" ht="19" customHeight="1" spans="1:3">
      <c r="A76" s="5" t="s">
        <v>177</v>
      </c>
      <c r="B76" s="7"/>
      <c r="C76" s="7"/>
    </row>
    <row r="77" s="2" customFormat="1" ht="19" customHeight="1" spans="1:3">
      <c r="A77" s="5" t="s">
        <v>178</v>
      </c>
      <c r="B77" s="7"/>
      <c r="C77" s="7"/>
    </row>
    <row r="78" s="2" customFormat="1" ht="19" customHeight="1" spans="1:3">
      <c r="A78" s="5" t="s">
        <v>179</v>
      </c>
      <c r="B78" s="8" t="s">
        <v>180</v>
      </c>
      <c r="C78" s="8" t="s">
        <v>181</v>
      </c>
    </row>
    <row r="79" s="2" customFormat="1" ht="19" customHeight="1" spans="1:3">
      <c r="A79" s="5" t="s">
        <v>182</v>
      </c>
      <c r="B79" s="8"/>
      <c r="C79" s="8"/>
    </row>
    <row r="80" s="2" customFormat="1" ht="19" customHeight="1" spans="1:3">
      <c r="A80" s="5" t="s">
        <v>183</v>
      </c>
      <c r="B80" s="8"/>
      <c r="C80" s="8"/>
    </row>
    <row r="81" s="2" customFormat="1" ht="19" customHeight="1" spans="1:3">
      <c r="A81" s="5" t="s">
        <v>184</v>
      </c>
      <c r="B81" s="8"/>
      <c r="C81" s="8"/>
    </row>
    <row r="82" s="2" customFormat="1" ht="19" customHeight="1" spans="1:3">
      <c r="A82" s="5" t="s">
        <v>185</v>
      </c>
      <c r="B82" s="8"/>
      <c r="C82" s="8"/>
    </row>
    <row r="83" s="2" customFormat="1" ht="19" customHeight="1" spans="1:3">
      <c r="A83" s="5" t="s">
        <v>186</v>
      </c>
      <c r="B83" s="8"/>
      <c r="C83" s="8"/>
    </row>
    <row r="84" s="2" customFormat="1" ht="19" customHeight="1" spans="1:3">
      <c r="A84" s="5" t="s">
        <v>187</v>
      </c>
      <c r="B84" s="8"/>
      <c r="C84" s="8"/>
    </row>
    <row r="85" s="2" customFormat="1" ht="19" customHeight="1" spans="1:3">
      <c r="A85" s="5" t="s">
        <v>188</v>
      </c>
      <c r="B85" s="8"/>
      <c r="C85" s="8"/>
    </row>
    <row r="86" s="2" customFormat="1" ht="19" customHeight="1" spans="1:3">
      <c r="A86" s="5" t="s">
        <v>189</v>
      </c>
      <c r="B86" s="8"/>
      <c r="C86" s="8"/>
    </row>
    <row r="87" s="2" customFormat="1" ht="19" customHeight="1" spans="1:3">
      <c r="A87" s="5" t="s">
        <v>190</v>
      </c>
      <c r="B87" s="8"/>
      <c r="C87" s="8"/>
    </row>
    <row r="88" s="2" customFormat="1" ht="19" customHeight="1" spans="1:3">
      <c r="A88" s="5" t="s">
        <v>191</v>
      </c>
      <c r="B88" s="8"/>
      <c r="C88" s="8"/>
    </row>
    <row r="89" s="2" customFormat="1" ht="19" customHeight="1" spans="1:3">
      <c r="A89" s="5" t="s">
        <v>192</v>
      </c>
      <c r="B89" s="8"/>
      <c r="C89" s="8"/>
    </row>
    <row r="90" s="2" customFormat="1" ht="19" customHeight="1" spans="1:3">
      <c r="A90" s="5" t="s">
        <v>193</v>
      </c>
      <c r="B90" s="8"/>
      <c r="C90" s="8"/>
    </row>
    <row r="91" s="2" customFormat="1" ht="19" customHeight="1" spans="1:3">
      <c r="A91" s="5" t="s">
        <v>194</v>
      </c>
      <c r="B91" s="8"/>
      <c r="C91" s="8"/>
    </row>
    <row r="92" s="2" customFormat="1" ht="19" customHeight="1" spans="1:3">
      <c r="A92" s="5" t="s">
        <v>195</v>
      </c>
      <c r="B92" s="8"/>
      <c r="C92" s="8"/>
    </row>
    <row r="93" s="2" customFormat="1" ht="19" customHeight="1" spans="1:3">
      <c r="A93" s="5" t="s">
        <v>196</v>
      </c>
      <c r="B93" s="8"/>
      <c r="C93" s="8"/>
    </row>
    <row r="94" s="2" customFormat="1" ht="19" customHeight="1" spans="1:3">
      <c r="A94" s="5" t="s">
        <v>197</v>
      </c>
      <c r="B94" s="8"/>
      <c r="C94" s="8"/>
    </row>
    <row r="95" s="2" customFormat="1" ht="19" customHeight="1" spans="1:3">
      <c r="A95" s="5" t="s">
        <v>198</v>
      </c>
      <c r="B95" s="8"/>
      <c r="C95" s="8"/>
    </row>
    <row r="96" s="2" customFormat="1" ht="19" customHeight="1" spans="1:3">
      <c r="A96" s="10" t="s">
        <v>199</v>
      </c>
      <c r="B96" s="8" t="s">
        <v>99</v>
      </c>
      <c r="C96" s="8" t="s">
        <v>200</v>
      </c>
    </row>
    <row r="97" s="2" customFormat="1" ht="19" customHeight="1" spans="1:3">
      <c r="A97" s="10" t="s">
        <v>201</v>
      </c>
      <c r="B97" s="8"/>
      <c r="C97" s="8"/>
    </row>
    <row r="98" s="2" customFormat="1" ht="19" customHeight="1" spans="1:3">
      <c r="A98" s="10" t="s">
        <v>202</v>
      </c>
      <c r="B98" s="8"/>
      <c r="C98" s="8"/>
    </row>
    <row r="99" s="2" customFormat="1" ht="19" customHeight="1" spans="1:3">
      <c r="A99" s="10" t="s">
        <v>203</v>
      </c>
      <c r="B99" s="8"/>
      <c r="C99" s="8"/>
    </row>
    <row r="100" s="2" customFormat="1" ht="19" customHeight="1" spans="1:3">
      <c r="A100" s="10" t="s">
        <v>204</v>
      </c>
      <c r="B100" s="8"/>
      <c r="C100" s="8"/>
    </row>
    <row r="101" s="2" customFormat="1" ht="19" customHeight="1" spans="1:3">
      <c r="A101" s="10" t="s">
        <v>205</v>
      </c>
      <c r="B101" s="8"/>
      <c r="C101" s="8"/>
    </row>
    <row r="102" s="2" customFormat="1" ht="19" customHeight="1" spans="1:3">
      <c r="A102" s="10" t="s">
        <v>206</v>
      </c>
      <c r="B102" s="8"/>
      <c r="C102" s="8"/>
    </row>
    <row r="103" s="2" customFormat="1" ht="19" customHeight="1" spans="1:3">
      <c r="A103" s="10" t="s">
        <v>207</v>
      </c>
      <c r="B103" s="8"/>
      <c r="C103" s="8"/>
    </row>
    <row r="104" s="2" customFormat="1" ht="19" customHeight="1" spans="1:3">
      <c r="A104" s="10" t="s">
        <v>208</v>
      </c>
      <c r="B104" s="8"/>
      <c r="C104" s="8"/>
    </row>
    <row r="105" s="2" customFormat="1" ht="19" customHeight="1" spans="1:3">
      <c r="A105" s="10" t="s">
        <v>209</v>
      </c>
      <c r="B105" s="8"/>
      <c r="C105" s="8"/>
    </row>
    <row r="106" s="2" customFormat="1" ht="19" customHeight="1" spans="1:3">
      <c r="A106" s="10" t="s">
        <v>210</v>
      </c>
      <c r="B106" s="8"/>
      <c r="C106" s="8"/>
    </row>
    <row r="107" s="2" customFormat="1" ht="19" customHeight="1" spans="1:3">
      <c r="A107" s="10" t="s">
        <v>211</v>
      </c>
      <c r="B107" s="8"/>
      <c r="C107" s="8"/>
    </row>
    <row r="108" s="2" customFormat="1" ht="19" customHeight="1" spans="1:3">
      <c r="A108" s="10" t="s">
        <v>212</v>
      </c>
      <c r="B108" s="8"/>
      <c r="C108" s="8"/>
    </row>
    <row r="109" s="2" customFormat="1" ht="19" customHeight="1" spans="1:3">
      <c r="A109" s="10" t="s">
        <v>213</v>
      </c>
      <c r="B109" s="8"/>
      <c r="C109" s="8"/>
    </row>
    <row r="110" s="2" customFormat="1" ht="19" customHeight="1" spans="1:3">
      <c r="A110" s="10" t="s">
        <v>214</v>
      </c>
      <c r="B110" s="8"/>
      <c r="C110" s="8"/>
    </row>
    <row r="111" s="2" customFormat="1" ht="19" customHeight="1" spans="1:3">
      <c r="A111" s="10" t="s">
        <v>215</v>
      </c>
      <c r="B111" s="8"/>
      <c r="C111" s="8"/>
    </row>
    <row r="112" s="2" customFormat="1" ht="19" customHeight="1" spans="1:3">
      <c r="A112" s="10" t="s">
        <v>216</v>
      </c>
      <c r="B112" s="8"/>
      <c r="C112" s="8"/>
    </row>
    <row r="113" s="2" customFormat="1" ht="19" customHeight="1" spans="1:3">
      <c r="A113" s="10" t="s">
        <v>217</v>
      </c>
      <c r="B113" s="8"/>
      <c r="C113" s="8"/>
    </row>
    <row r="114" s="2" customFormat="1" ht="19" customHeight="1" spans="1:3">
      <c r="A114" s="10" t="s">
        <v>218</v>
      </c>
      <c r="B114" s="8"/>
      <c r="C114" s="8"/>
    </row>
    <row r="115" s="2" customFormat="1" ht="19" customHeight="1" spans="1:3">
      <c r="A115" s="10" t="s">
        <v>219</v>
      </c>
      <c r="B115" s="8"/>
      <c r="C115" s="8"/>
    </row>
    <row r="116" s="2" customFormat="1" ht="19" customHeight="1" spans="1:3">
      <c r="A116" s="10" t="s">
        <v>220</v>
      </c>
      <c r="B116" s="8"/>
      <c r="C116" s="8"/>
    </row>
    <row r="117" s="2" customFormat="1" ht="19" customHeight="1" spans="1:3">
      <c r="A117" s="10" t="s">
        <v>221</v>
      </c>
      <c r="B117" s="8"/>
      <c r="C117" s="8"/>
    </row>
    <row r="118" s="2" customFormat="1" ht="19" customHeight="1" spans="1:3">
      <c r="A118" s="10" t="s">
        <v>222</v>
      </c>
      <c r="B118" s="8"/>
      <c r="C118" s="8"/>
    </row>
    <row r="119" s="2" customFormat="1" ht="19" customHeight="1" spans="1:3">
      <c r="A119" s="10" t="s">
        <v>223</v>
      </c>
      <c r="B119" s="8"/>
      <c r="C119" s="8"/>
    </row>
    <row r="120" s="2" customFormat="1" ht="19" customHeight="1" spans="1:3">
      <c r="A120" s="10" t="s">
        <v>224</v>
      </c>
      <c r="B120" s="8"/>
      <c r="C120" s="8"/>
    </row>
    <row r="121" s="2" customFormat="1" ht="19" customHeight="1" spans="1:3">
      <c r="A121" s="10" t="s">
        <v>225</v>
      </c>
      <c r="B121" s="8"/>
      <c r="C121" s="8"/>
    </row>
    <row r="122" s="2" customFormat="1" ht="19" customHeight="1" spans="1:3">
      <c r="A122" s="10" t="s">
        <v>226</v>
      </c>
      <c r="B122" s="8"/>
      <c r="C122" s="8"/>
    </row>
    <row r="123" s="2" customFormat="1" ht="19" customHeight="1" spans="1:3">
      <c r="A123" s="5" t="s">
        <v>227</v>
      </c>
      <c r="B123" s="7"/>
      <c r="C123" s="7"/>
    </row>
    <row r="124" s="2" customFormat="1" ht="19" customHeight="1" spans="1:3">
      <c r="A124" s="5" t="s">
        <v>228</v>
      </c>
      <c r="B124" s="7"/>
      <c r="C124" s="7"/>
    </row>
    <row r="125" s="2" customFormat="1" ht="19" customHeight="1" spans="1:3">
      <c r="A125" s="5" t="s">
        <v>229</v>
      </c>
      <c r="B125" s="7"/>
      <c r="C125" s="7"/>
    </row>
    <row r="126" s="2" customFormat="1" ht="19" customHeight="1" spans="1:3">
      <c r="A126" s="5" t="s">
        <v>230</v>
      </c>
      <c r="B126" s="7"/>
      <c r="C126" s="7"/>
    </row>
    <row r="127" s="1" customFormat="1" ht="18" spans="1:3">
      <c r="A127" s="5" t="s">
        <v>231</v>
      </c>
      <c r="B127" s="6" t="s">
        <v>99</v>
      </c>
      <c r="C127" s="6" t="s">
        <v>232</v>
      </c>
    </row>
    <row r="128" s="1" customFormat="1" ht="18" spans="1:3">
      <c r="A128" s="5" t="s">
        <v>233</v>
      </c>
      <c r="B128" s="7"/>
      <c r="C128" s="7"/>
    </row>
    <row r="129" s="1" customFormat="1" ht="18" spans="1:3">
      <c r="A129" s="5" t="s">
        <v>234</v>
      </c>
      <c r="B129" s="7"/>
      <c r="C129" s="7"/>
    </row>
    <row r="130" s="1" customFormat="1" ht="18" spans="1:3">
      <c r="A130" s="5" t="s">
        <v>235</v>
      </c>
      <c r="B130" s="7"/>
      <c r="C130" s="7"/>
    </row>
    <row r="131" s="1" customFormat="1" ht="18" spans="1:3">
      <c r="A131" s="5" t="s">
        <v>236</v>
      </c>
      <c r="B131" s="7"/>
      <c r="C131" s="7"/>
    </row>
    <row r="132" s="1" customFormat="1" ht="18" spans="1:3">
      <c r="A132" s="5" t="s">
        <v>237</v>
      </c>
      <c r="B132" s="7"/>
      <c r="C132" s="7"/>
    </row>
    <row r="133" s="1" customFormat="1" ht="18" spans="1:3">
      <c r="A133" s="5" t="s">
        <v>238</v>
      </c>
      <c r="B133" s="7"/>
      <c r="C133" s="7"/>
    </row>
    <row r="134" s="1" customFormat="1" ht="18" spans="1:3">
      <c r="A134" s="5" t="s">
        <v>239</v>
      </c>
      <c r="B134" s="7"/>
      <c r="C134" s="7"/>
    </row>
    <row r="135" s="1" customFormat="1" ht="18" spans="1:3">
      <c r="A135" s="5" t="s">
        <v>240</v>
      </c>
      <c r="B135" s="9"/>
      <c r="C135" s="9"/>
    </row>
  </sheetData>
  <mergeCells count="11">
    <mergeCell ref="B2:B55"/>
    <mergeCell ref="B56:B77"/>
    <mergeCell ref="B78:B95"/>
    <mergeCell ref="B96:B122"/>
    <mergeCell ref="B127:B135"/>
    <mergeCell ref="C2:C46"/>
    <mergeCell ref="C47:C55"/>
    <mergeCell ref="C56:C77"/>
    <mergeCell ref="C78:C95"/>
    <mergeCell ref="C96:C122"/>
    <mergeCell ref="C127:C135"/>
  </mergeCells>
  <conditionalFormatting sqref="A119:A120">
    <cfRule type="duplicateValues" dxfId="0" priority="1"/>
  </conditionalFormatting>
  <conditionalFormatting sqref="A1:A118 A121:A1048576">
    <cfRule type="duplicateValues" dxfId="0" priority="2"/>
  </conditionalFormatting>
  <dataValidations count="1">
    <dataValidation type="list" allowBlank="1" showInputMessage="1" showErrorMessage="1" sqref="A2:A135">
      <formula1>走货线路名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U49" sqref="U49"/>
    </sheetView>
  </sheetViews>
  <sheetFormatPr defaultColWidth="9" defaultRowHeight="13.5"/>
  <sheetData/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发票箱单</vt:lpstr>
      <vt:lpstr>走货线路名和申报币别要求-不能删</vt:lpstr>
      <vt:lpstr>填写范本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 ´(00)`)</cp:lastModifiedBy>
  <dcterms:created xsi:type="dcterms:W3CDTF">2021-03-15T20:37:00Z</dcterms:created>
  <dcterms:modified xsi:type="dcterms:W3CDTF">2026-04-03T03:00:15Z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7DFF58654BDC43AF814C1D989AC3755A_13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